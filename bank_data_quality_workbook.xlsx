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Source_Comparison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Exception_Log" sheetId="5" state="visible" r:id="rId5"/>
    <sheet xmlns:r="http://schemas.openxmlformats.org/officeDocument/2006/relationships" name="Read_Me" sheetId="6" state="visible" r:id="rId6"/>
  </sheets>
  <definedNames>
    <definedName name="_xlnm._FilterDatabase" localSheetId="1" hidden="1">'Raw_Data'!$A$1:$W$14</definedName>
    <definedName name="_xlnm._FilterDatabase" localSheetId="2" hidden="1">'Source_Comparison'!$A$1:$H$25</definedName>
    <definedName name="_xlnm._FilterDatabase" localSheetId="3" hidden="1">'Validation'!$A$1:$Q$14</definedName>
    <definedName name="_xlnm._FilterDatabase" localSheetId="4" hidden="1">'Exception_Log'!$A$1:$K$10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3" fillId="0" borderId="0" pivotButton="0" quotePrefix="0" xfId="0"/>
    <xf numFmtId="1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10" fontId="0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RawBankData" displayName="RawBankData" ref="A1:W14" headerRowCount="1">
  <autoFilter ref="A1:W14"/>
  <tableColumns count="23">
    <tableColumn id="1" name="bank_id"/>
    <tableColumn id="2" name="bank_name"/>
    <tableColumn id="3" name="country"/>
    <tableColumn id="4" name="report_date"/>
    <tableColumn id="5" name="accounting_standard"/>
    <tableColumn id="6" name="source_name"/>
    <tableColumn id="7" name="total_assets"/>
    <tableColumn id="8" name="total_liabilities"/>
    <tableColumn id="9" name="total_equity"/>
    <tableColumn id="10" name="gross_loans"/>
    <tableColumn id="11" name="npl_amount"/>
    <tableColumn id="12" name="total_deposits"/>
    <tableColumn id="13" name="interest_income"/>
    <tableColumn id="14" name="interest_expense"/>
    <tableColumn id="15" name="net_income"/>
    <tableColumn id="16" name="risk_weighted_assets"/>
    <tableColumn id="17" name="regulatory_capital"/>
    <tableColumn id="18" name="npl_ratio_reported"/>
    <tableColumn id="19" name="car_reported"/>
    <tableColumn id="20" name="roa_reported"/>
    <tableColumn id="21" name="roe_reported"/>
    <tableColumn id="22" name="nim_reported"/>
    <tableColumn id="23" name="allowance_for_loan_loss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ourceData" displayName="SourceData" ref="A1:H25" headerRowCount="1">
  <autoFilter ref="A1:H25"/>
  <tableColumns count="8">
    <tableColumn id="1" name="bank_id"/>
    <tableColumn id="2" name="bank_name"/>
    <tableColumn id="3" name="report_date"/>
    <tableColumn id="4" name="source_name"/>
    <tableColumn id="5" name="total_assets"/>
    <tableColumn id="6" name="total_liabilities"/>
    <tableColumn id="7" name="total_equity"/>
    <tableColumn id="8" name="net_income"/>
  </tableColumns>
  <tableStyleInfo name="TableStyleMedium2" showRowStripes="1"/>
</table>
</file>

<file path=xl/tables/table3.xml><?xml version="1.0" encoding="utf-8"?>
<table xmlns="http://schemas.openxmlformats.org/spreadsheetml/2006/main" id="3" name="ExceptionLog" displayName="ExceptionLog" ref="A1:K10" headerRowCount="1">
  <autoFilter ref="A1:K10"/>
  <tableColumns count="11">
    <tableColumn id="1" name="exception_id"/>
    <tableColumn id="2" name="bank_id"/>
    <tableColumn id="3" name="report_date"/>
    <tableColumn id="4" name="issue_type"/>
    <tableColumn id="5" name="severity"/>
    <tableColumn id="6" name="detected_by"/>
    <tableColumn id="7" name="investigation_notes"/>
    <tableColumn id="8" name="proposed_action"/>
    <tableColumn id="9" name="status"/>
    <tableColumn id="10" name="reviewer"/>
    <tableColumn id="11" name="resolution_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60" customWidth="1" min="3" max="3"/>
    <col width="18" customWidth="1" min="4" max="4"/>
  </cols>
  <sheetData>
    <row r="1" ht="22" customHeight="1">
      <c r="A1" s="1" t="inlineStr">
        <is>
          <t>BANK FINANCIAL DATA QUALITY DASHBOARD</t>
        </is>
      </c>
    </row>
    <row r="2" ht="22" customHeight="1"/>
    <row r="3" ht="22" customHeight="1">
      <c r="A3" s="2" t="inlineStr">
        <is>
          <t>Metric</t>
        </is>
      </c>
      <c r="B3" s="2" t="inlineStr">
        <is>
          <t>Value</t>
        </is>
      </c>
      <c r="C3" s="2" t="inlineStr">
        <is>
          <t>Interpretation</t>
        </is>
      </c>
      <c r="D3" s="2" t="n"/>
    </row>
    <row r="4" ht="22" customHeight="1">
      <c r="A4" s="3" t="inlineStr">
        <is>
          <t>Raw rows</t>
        </is>
      </c>
      <c r="B4" s="4">
        <f>COUNTA(Raw_Data!A2:A14)</f>
        <v/>
      </c>
      <c r="C4" t="inlineStr">
        <is>
          <t>Includes all source rows, including seeded duplicate.</t>
        </is>
      </c>
    </row>
    <row r="5" ht="22" customHeight="1">
      <c r="A5" s="3" t="inlineStr">
        <is>
          <t>Unique banks</t>
        </is>
      </c>
      <c r="B5" s="4">
        <f>SUMPRODUCT((Raw_Data!A2:A14&lt;&gt;)/COUNTIF(Raw_Data!A2:A{raw_last},Raw_Data!A2:A{raw_last}&amp;))</f>
        <v/>
      </c>
      <c r="C5" t="inlineStr">
        <is>
          <t>Distinct bank IDs; formula may vary by Excel version.</t>
        </is>
      </c>
    </row>
    <row r="6" ht="22" customHeight="1">
      <c r="A6" s="3" t="inlineStr">
        <is>
          <t>Missing critical-value rows</t>
        </is>
      </c>
      <c r="B6" s="4">
        <f>COUNTIF(Validation!D2:D14,"EXCEPTION")</f>
        <v/>
      </c>
      <c r="C6" t="inlineStr">
        <is>
          <t>Assets, equity, or net income missing.</t>
        </is>
      </c>
    </row>
    <row r="7" ht="22" customHeight="1">
      <c r="A7" s="3" t="inlineStr">
        <is>
          <t>Duplicate bank-period rows flagged</t>
        </is>
      </c>
      <c r="B7" s="4">
        <f>COUNTIF(Validation!E2:E14,"EXCEPTION")</f>
        <v/>
      </c>
      <c r="C7" t="inlineStr">
        <is>
          <t>Each row belonging to a duplicated bank-period is flagged.</t>
        </is>
      </c>
    </row>
    <row r="8" ht="22" customHeight="1">
      <c r="A8" s="3" t="inlineStr">
        <is>
          <t>Balance sheet exceptions</t>
        </is>
      </c>
      <c r="B8" s="4">
        <f>COUNTIF(Validation!F2:F14,"EXCEPTION")</f>
        <v/>
      </c>
      <c r="C8" t="inlineStr">
        <is>
          <t>Assets vs liabilities plus equity, tolerance 1.</t>
        </is>
      </c>
    </row>
    <row r="9" ht="22" customHeight="1">
      <c r="A9" s="3" t="inlineStr">
        <is>
          <t>NPL logic exceptions</t>
        </is>
      </c>
      <c r="B9" s="4">
        <f>COUNTIF(Validation!G2:G14,"EXCEPTION")</f>
        <v/>
      </c>
      <c r="C9" t="inlineStr">
        <is>
          <t>NPL amount exceeds gross loans.</t>
        </is>
      </c>
    </row>
    <row r="10" ht="22" customHeight="1">
      <c r="A10" s="3" t="inlineStr">
        <is>
          <t>Negative interest expense exceptions</t>
        </is>
      </c>
      <c r="B10" s="4">
        <f>COUNTIF(Validation!H2:H14,"EXCEPTION")</f>
        <v/>
      </c>
      <c r="C10" t="inlineStr">
        <is>
          <t>Review sign convention and source.</t>
        </is>
      </c>
    </row>
    <row r="11" ht="22" customHeight="1">
      <c r="A11" s="3" t="inlineStr">
        <is>
          <t>Deposit exceptions</t>
        </is>
      </c>
      <c r="B11" s="4">
        <f>COUNTIF(Validation!I2:I14,"EXCEPTION")</f>
        <v/>
      </c>
      <c r="C11" t="inlineStr">
        <is>
          <t>Deposits are zero or negative.</t>
        </is>
      </c>
    </row>
    <row r="12" ht="22" customHeight="1">
      <c r="A12" s="3" t="inlineStr">
        <is>
          <t>Ratio review/check rows</t>
        </is>
      </c>
      <c r="B12" s="4">
        <f>COUNTIF(Validation!O2:O14,"CHECK")+COUNTIF(Validation!O2:O14,"REVIEW")</f>
        <v/>
      </c>
      <c r="C12" t="inlineStr">
        <is>
          <t>Ratios require review; NIM is a simplified proxy.</t>
        </is>
      </c>
    </row>
    <row r="13" ht="22" customHeight="1">
      <c r="A13" s="3" t="inlineStr">
        <is>
          <t>Open exception log items</t>
        </is>
      </c>
      <c r="B13" s="4">
        <f>COUNTIF(Exception_Log!I2:I100,"Open")</f>
        <v/>
      </c>
      <c r="C13" t="inlineStr">
        <is>
          <t>Update status after source-based investigation.</t>
        </is>
      </c>
    </row>
    <row r="14" ht="22" customHeight="1"/>
    <row r="15" ht="22" customHeight="1"/>
    <row r="16" ht="22" customHeight="1">
      <c r="A16" s="5" t="inlineStr">
        <is>
          <t>Use notes</t>
        </is>
      </c>
    </row>
    <row r="17" ht="22" customHeight="1">
      <c r="A17" t="inlineStr">
        <is>
          <t>This is synthetic practice data, not Moody's data or a regulatory reporting template.</t>
        </is>
      </c>
    </row>
    <row r="18" ht="22" customHeight="1">
      <c r="A18" t="inlineStr">
        <is>
          <t>Do not auto-correct exceptions. Verify the source, log the decision, and preserve raw lineage.</t>
        </is>
      </c>
    </row>
    <row r="19" ht="22" customHeight="1">
      <c r="A19" t="inlineStr">
        <is>
          <t>NIM proxy uses (interest income - interest expense) / total assets because average earning assets are not supplied.</t>
        </is>
      </c>
    </row>
    <row r="20" ht="22" customHeight="1">
      <c r="A20" t="inlineStr">
        <is>
          <t>All monetary values are fictional currency units; ratios are stored as decimals.</t>
        </is>
      </c>
    </row>
  </sheetData>
  <mergeCells count="5">
    <mergeCell ref="A1:D1"/>
    <mergeCell ref="A17:D17"/>
    <mergeCell ref="A18:D18"/>
    <mergeCell ref="A20:D20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14" customWidth="1" min="6" max="6"/>
    <col width="14" customWidth="1" min="7" max="7"/>
    <col width="19" customWidth="1" min="8" max="8"/>
    <col width="14" customWidth="1" min="9" max="9"/>
    <col width="14" customWidth="1" min="10" max="10"/>
    <col width="14" customWidth="1" min="11" max="11"/>
    <col width="16" customWidth="1" min="12" max="12"/>
    <col width="17" customWidth="1" min="13" max="13"/>
    <col width="18" customWidth="1" min="14" max="14"/>
    <col width="14" customWidth="1" min="15" max="15"/>
    <col width="22" customWidth="1" min="16" max="16"/>
    <col width="20" customWidth="1" min="17" max="17"/>
    <col width="20" customWidth="1" min="18" max="18"/>
    <col width="14" customWidth="1" min="19" max="19"/>
    <col width="14" customWidth="1" min="20" max="20"/>
    <col width="14" customWidth="1" min="21" max="21"/>
    <col width="14" customWidth="1" min="22" max="22"/>
    <col width="24" customWidth="1" min="23" max="23"/>
  </cols>
  <sheetData>
    <row r="1">
      <c r="A1" s="6" t="inlineStr">
        <is>
          <t>bank_id</t>
        </is>
      </c>
      <c r="B1" s="6" t="inlineStr">
        <is>
          <t>bank_name</t>
        </is>
      </c>
      <c r="C1" s="6" t="inlineStr">
        <is>
          <t>country</t>
        </is>
      </c>
      <c r="D1" s="6" t="inlineStr">
        <is>
          <t>report_date</t>
        </is>
      </c>
      <c r="E1" s="6" t="inlineStr">
        <is>
          <t>accounting_standard</t>
        </is>
      </c>
      <c r="F1" s="6" t="inlineStr">
        <is>
          <t>source_name</t>
        </is>
      </c>
      <c r="G1" s="6" t="inlineStr">
        <is>
          <t>total_assets</t>
        </is>
      </c>
      <c r="H1" s="6" t="inlineStr">
        <is>
          <t>total_liabilities</t>
        </is>
      </c>
      <c r="I1" s="6" t="inlineStr">
        <is>
          <t>total_equity</t>
        </is>
      </c>
      <c r="J1" s="6" t="inlineStr">
        <is>
          <t>gross_loans</t>
        </is>
      </c>
      <c r="K1" s="6" t="inlineStr">
        <is>
          <t>npl_amount</t>
        </is>
      </c>
      <c r="L1" s="6" t="inlineStr">
        <is>
          <t>total_deposits</t>
        </is>
      </c>
      <c r="M1" s="6" t="inlineStr">
        <is>
          <t>interest_income</t>
        </is>
      </c>
      <c r="N1" s="6" t="inlineStr">
        <is>
          <t>interest_expense</t>
        </is>
      </c>
      <c r="O1" s="6" t="inlineStr">
        <is>
          <t>net_income</t>
        </is>
      </c>
      <c r="P1" s="6" t="inlineStr">
        <is>
          <t>risk_weighted_assets</t>
        </is>
      </c>
      <c r="Q1" s="6" t="inlineStr">
        <is>
          <t>regulatory_capital</t>
        </is>
      </c>
      <c r="R1" s="6" t="inlineStr">
        <is>
          <t>npl_ratio_reported</t>
        </is>
      </c>
      <c r="S1" s="6" t="inlineStr">
        <is>
          <t>car_reported</t>
        </is>
      </c>
      <c r="T1" s="6" t="inlineStr">
        <is>
          <t>roa_reported</t>
        </is>
      </c>
      <c r="U1" s="6" t="inlineStr">
        <is>
          <t>roe_reported</t>
        </is>
      </c>
      <c r="V1" s="6" t="inlineStr">
        <is>
          <t>nim_reported</t>
        </is>
      </c>
      <c r="W1" s="6" t="inlineStr">
        <is>
          <t>allowance_for_loan_losses</t>
        </is>
      </c>
    </row>
    <row r="2">
      <c r="A2" t="inlineStr">
        <is>
          <t>B001</t>
        </is>
      </c>
      <c r="B2" t="inlineStr">
        <is>
          <t>Northstar Bank</t>
        </is>
      </c>
      <c r="C2" t="inlineStr">
        <is>
          <t>India</t>
        </is>
      </c>
      <c r="D2" s="7" t="inlineStr">
        <is>
          <t>2025-03-31</t>
        </is>
      </c>
      <c r="E2" t="inlineStr">
        <is>
          <t>IFRS</t>
        </is>
      </c>
      <c r="F2" t="inlineStr">
        <is>
          <t>Annual Report</t>
        </is>
      </c>
      <c r="G2" t="n">
        <v>125000</v>
      </c>
      <c r="H2" t="n">
        <v>112000</v>
      </c>
      <c r="I2" t="n">
        <v>13000</v>
      </c>
      <c r="J2" t="n">
        <v>100000</v>
      </c>
      <c r="K2" t="n">
        <v>8000</v>
      </c>
      <c r="L2" t="n">
        <v>5000</v>
      </c>
      <c r="M2" t="n">
        <v>2200</v>
      </c>
      <c r="N2" t="n">
        <v>700</v>
      </c>
      <c r="O2" t="n">
        <v>1200</v>
      </c>
      <c r="P2" t="n">
        <v>130000</v>
      </c>
      <c r="Q2" t="n">
        <v>15000</v>
      </c>
      <c r="R2" t="n">
        <v>0.145</v>
      </c>
      <c r="S2" t="n">
        <v>0.115</v>
      </c>
      <c r="T2" t="n">
        <v>0.028</v>
      </c>
      <c r="U2" t="n">
        <v>0.012</v>
      </c>
      <c r="V2" t="n">
        <v>0.105</v>
      </c>
      <c r="W2" t="n">
        <v>0.015</v>
      </c>
    </row>
    <row r="3">
      <c r="A3" t="inlineStr">
        <is>
          <t>B002</t>
        </is>
      </c>
      <c r="B3" t="inlineStr">
        <is>
          <t>Rivergate Bank</t>
        </is>
      </c>
      <c r="C3" t="inlineStr">
        <is>
          <t>India</t>
        </is>
      </c>
      <c r="D3" s="7" t="inlineStr">
        <is>
          <t>2025-03-31</t>
        </is>
      </c>
      <c r="E3" t="inlineStr">
        <is>
          <t>IFRS</t>
        </is>
      </c>
      <c r="F3" t="inlineStr">
        <is>
          <t>Annual Report</t>
        </is>
      </c>
      <c r="G3" t="n">
        <v>98000</v>
      </c>
      <c r="H3" t="n">
        <v>90000</v>
      </c>
      <c r="I3" t="n">
        <v>8000</v>
      </c>
      <c r="J3" t="n">
        <v>76000</v>
      </c>
      <c r="K3" t="n">
        <v>6000</v>
      </c>
      <c r="L3" t="n">
        <v>4000</v>
      </c>
      <c r="M3" t="n">
        <v>1800</v>
      </c>
      <c r="N3" t="n">
        <v>550</v>
      </c>
      <c r="O3" t="n">
        <v>900</v>
      </c>
      <c r="P3" t="n">
        <v>95000</v>
      </c>
      <c r="Q3" t="n">
        <v>10200</v>
      </c>
      <c r="R3" t="n">
        <v>0.132</v>
      </c>
      <c r="S3" t="n">
        <v>0.108</v>
      </c>
      <c r="T3" t="n">
        <v>0.031</v>
      </c>
      <c r="U3" t="n">
        <v>0.014</v>
      </c>
      <c r="V3" t="n">
        <v>0.092</v>
      </c>
      <c r="W3" t="n">
        <v>0.018</v>
      </c>
    </row>
    <row r="4">
      <c r="A4" t="inlineStr">
        <is>
          <t>B003</t>
        </is>
      </c>
      <c r="B4" t="inlineStr">
        <is>
          <t>Summit Commercial Bank</t>
        </is>
      </c>
      <c r="C4" t="inlineStr">
        <is>
          <t>UK</t>
        </is>
      </c>
      <c r="D4" s="7" t="inlineStr">
        <is>
          <t>2025-03-31</t>
        </is>
      </c>
      <c r="E4" t="inlineStr">
        <is>
          <t>IFRS</t>
        </is>
      </c>
      <c r="F4" t="inlineStr">
        <is>
          <t>Annual Report</t>
        </is>
      </c>
      <c r="G4" t="n">
        <v>210000</v>
      </c>
      <c r="H4" t="n">
        <v>194000</v>
      </c>
      <c r="J4" t="n">
        <v>165000</v>
      </c>
      <c r="K4" t="n">
        <v>12000</v>
      </c>
      <c r="L4" t="n">
        <v>9000</v>
      </c>
      <c r="M4" t="n">
        <v>3100</v>
      </c>
      <c r="N4" t="n">
        <v>950</v>
      </c>
      <c r="O4" t="n">
        <v>2100</v>
      </c>
      <c r="P4" t="n">
        <v>170000</v>
      </c>
      <c r="Q4" t="n">
        <v>19800</v>
      </c>
      <c r="R4" t="n">
        <v>0.114</v>
      </c>
      <c r="S4" t="n">
        <v>0.094</v>
      </c>
      <c r="T4" t="n">
        <v>0.026</v>
      </c>
      <c r="U4" t="n">
        <v>0.01</v>
      </c>
      <c r="V4" t="n">
        <v>0.098</v>
      </c>
      <c r="W4" t="n">
        <v>0.013</v>
      </c>
    </row>
    <row r="5">
      <c r="A5" t="inlineStr">
        <is>
          <t>B004</t>
        </is>
      </c>
      <c r="B5" t="inlineStr">
        <is>
          <t>Cedar Trust Bank</t>
        </is>
      </c>
      <c r="C5" t="inlineStr">
        <is>
          <t>US</t>
        </is>
      </c>
      <c r="D5" s="7" t="inlineStr">
        <is>
          <t>2025-03-31</t>
        </is>
      </c>
      <c r="E5" t="inlineStr">
        <is>
          <t>US_GAAP</t>
        </is>
      </c>
      <c r="F5" t="inlineStr">
        <is>
          <t>Annual Report</t>
        </is>
      </c>
      <c r="G5" t="n">
        <v>165000</v>
      </c>
      <c r="H5" t="n">
        <v>161000</v>
      </c>
      <c r="I5" t="n">
        <v>14000</v>
      </c>
      <c r="J5" t="n">
        <v>135000</v>
      </c>
      <c r="K5" t="n">
        <v>10000</v>
      </c>
      <c r="L5" t="n">
        <v>7000</v>
      </c>
      <c r="M5" t="n">
        <v>2700</v>
      </c>
      <c r="N5" t="n">
        <v>820</v>
      </c>
      <c r="O5" t="n">
        <v>1700</v>
      </c>
      <c r="P5" t="n">
        <v>145000</v>
      </c>
      <c r="Q5" t="n">
        <v>16800</v>
      </c>
      <c r="R5" t="n">
        <v>0.12</v>
      </c>
      <c r="S5" t="n">
        <v>0.096</v>
      </c>
      <c r="T5" t="n">
        <v>0.024</v>
      </c>
      <c r="U5" t="n">
        <v>0.008999999999999999</v>
      </c>
      <c r="V5" t="n">
        <v>0.101</v>
      </c>
      <c r="W5" t="n">
        <v>0.014</v>
      </c>
    </row>
    <row r="6">
      <c r="A6" t="inlineStr">
        <is>
          <t>B005</t>
        </is>
      </c>
      <c r="B6" t="inlineStr">
        <is>
          <t>BluePeak Bank</t>
        </is>
      </c>
      <c r="C6" t="inlineStr">
        <is>
          <t>Singapore</t>
        </is>
      </c>
      <c r="D6" s="7" t="inlineStr">
        <is>
          <t>2025-03-31</t>
        </is>
      </c>
      <c r="E6" t="inlineStr">
        <is>
          <t>IFRS</t>
        </is>
      </c>
      <c r="F6" t="inlineStr">
        <is>
          <t>Annual Report</t>
        </is>
      </c>
      <c r="G6" t="n">
        <v>76000</v>
      </c>
      <c r="H6" t="n">
        <v>70000</v>
      </c>
      <c r="I6" t="n">
        <v>6000</v>
      </c>
      <c r="J6" t="n">
        <v>58000</v>
      </c>
      <c r="K6" t="n">
        <v>65000</v>
      </c>
      <c r="L6" t="n">
        <v>3000</v>
      </c>
      <c r="M6" t="n">
        <v>1400</v>
      </c>
      <c r="N6" t="n">
        <v>430</v>
      </c>
      <c r="O6" t="n">
        <v>600</v>
      </c>
      <c r="P6" t="n">
        <v>65000</v>
      </c>
      <c r="Q6" t="n">
        <v>7400</v>
      </c>
      <c r="R6" t="n">
        <v>0.118</v>
      </c>
      <c r="S6" t="n">
        <v>0.097</v>
      </c>
      <c r="T6" t="n">
        <v>0.029</v>
      </c>
      <c r="U6" t="n">
        <v>0.011</v>
      </c>
      <c r="V6" t="n">
        <v>0.08799999999999999</v>
      </c>
      <c r="W6" t="n">
        <v>0.016</v>
      </c>
    </row>
    <row r="7">
      <c r="A7" t="inlineStr">
        <is>
          <t>B006</t>
        </is>
      </c>
      <c r="B7" t="inlineStr">
        <is>
          <t>Oakline Bank</t>
        </is>
      </c>
      <c r="C7" t="inlineStr">
        <is>
          <t>India</t>
        </is>
      </c>
      <c r="D7" s="7" t="inlineStr">
        <is>
          <t>2025-03-31</t>
        </is>
      </c>
      <c r="E7" t="inlineStr">
        <is>
          <t>IFRS</t>
        </is>
      </c>
      <c r="F7" t="inlineStr">
        <is>
          <t>Annual Report</t>
        </is>
      </c>
      <c r="G7" t="n">
        <v>88000</v>
      </c>
      <c r="H7" t="n">
        <v>81000</v>
      </c>
      <c r="I7" t="n">
        <v>7000</v>
      </c>
      <c r="J7" t="n">
        <v>69000</v>
      </c>
      <c r="K7" t="n">
        <v>5200</v>
      </c>
      <c r="L7" t="n">
        <v>3600</v>
      </c>
      <c r="M7" t="n">
        <v>1500</v>
      </c>
      <c r="N7" t="n">
        <v>-460</v>
      </c>
      <c r="O7" t="n">
        <v>800</v>
      </c>
      <c r="P7" t="n">
        <v>78000</v>
      </c>
      <c r="Q7" t="n">
        <v>8900</v>
      </c>
      <c r="R7" t="n">
        <v>0.125</v>
      </c>
      <c r="S7" t="n">
        <v>0.101</v>
      </c>
      <c r="T7" t="n">
        <v>0.03</v>
      </c>
      <c r="U7" t="n">
        <v>0.013</v>
      </c>
      <c r="V7" t="n">
        <v>0.094</v>
      </c>
      <c r="W7" t="n">
        <v>0.017</v>
      </c>
    </row>
    <row r="8">
      <c r="A8" t="inlineStr">
        <is>
          <t>B007</t>
        </is>
      </c>
      <c r="B8" t="inlineStr">
        <is>
          <t>Meridian Bank</t>
        </is>
      </c>
      <c r="C8" t="inlineStr">
        <is>
          <t>Canada</t>
        </is>
      </c>
      <c r="D8" s="7" t="inlineStr">
        <is>
          <t>2025-03-31</t>
        </is>
      </c>
      <c r="E8" t="inlineStr">
        <is>
          <t>IFRS</t>
        </is>
      </c>
      <c r="F8" t="inlineStr">
        <is>
          <t>Annual Report</t>
        </is>
      </c>
      <c r="G8" t="n">
        <v>142000</v>
      </c>
      <c r="H8" t="n">
        <v>130000</v>
      </c>
      <c r="I8" t="n">
        <v>12000</v>
      </c>
      <c r="J8" t="n">
        <v>108000</v>
      </c>
      <c r="K8" t="n">
        <v>8500</v>
      </c>
      <c r="L8" t="n">
        <v>6200</v>
      </c>
      <c r="M8" t="n">
        <v>2400</v>
      </c>
      <c r="N8" t="n">
        <v>730</v>
      </c>
      <c r="P8" t="n">
        <v>115000</v>
      </c>
      <c r="Q8" t="n">
        <v>13900</v>
      </c>
      <c r="R8" t="n">
        <v>0.119</v>
      </c>
      <c r="S8" t="n">
        <v>0.098</v>
      </c>
      <c r="T8" t="n">
        <v>0.027</v>
      </c>
      <c r="U8" t="n">
        <v>0.01</v>
      </c>
      <c r="V8" t="n">
        <v>0.099</v>
      </c>
      <c r="W8" t="n">
        <v>0.014</v>
      </c>
    </row>
    <row r="9">
      <c r="A9" t="inlineStr">
        <is>
          <t>B008</t>
        </is>
      </c>
      <c r="B9" t="inlineStr">
        <is>
          <t>Pinecrest Bank</t>
        </is>
      </c>
      <c r="C9" t="inlineStr">
        <is>
          <t>Australia</t>
        </is>
      </c>
      <c r="D9" s="7" t="inlineStr">
        <is>
          <t>2025-03-31</t>
        </is>
      </c>
      <c r="E9" t="inlineStr">
        <is>
          <t>IFRS</t>
        </is>
      </c>
      <c r="F9" t="inlineStr">
        <is>
          <t>Annual Report</t>
        </is>
      </c>
      <c r="G9" t="n">
        <v>66000</v>
      </c>
      <c r="H9" t="n">
        <v>61000</v>
      </c>
      <c r="I9" t="n">
        <v>5000</v>
      </c>
      <c r="J9" t="n">
        <v>49000</v>
      </c>
      <c r="K9" t="n">
        <v>3800</v>
      </c>
      <c r="L9" t="n">
        <v>2600</v>
      </c>
      <c r="M9" t="n">
        <v>1100</v>
      </c>
      <c r="N9" t="n">
        <v>350</v>
      </c>
      <c r="O9" t="n">
        <v>500</v>
      </c>
      <c r="P9" t="n">
        <v>54000</v>
      </c>
      <c r="Q9" t="n">
        <v>6300</v>
      </c>
      <c r="R9" t="n">
        <v>0.118</v>
      </c>
      <c r="S9" t="n">
        <v>0.096</v>
      </c>
      <c r="T9" t="n">
        <v>0.028</v>
      </c>
      <c r="U9" t="n">
        <v>0.012</v>
      </c>
      <c r="V9" t="n">
        <v>0.091</v>
      </c>
      <c r="W9" t="n">
        <v>0.016</v>
      </c>
    </row>
    <row r="10">
      <c r="A10" t="inlineStr">
        <is>
          <t>B009</t>
        </is>
      </c>
      <c r="B10" t="inlineStr">
        <is>
          <t>Harborview Bank</t>
        </is>
      </c>
      <c r="C10" t="inlineStr">
        <is>
          <t>India</t>
        </is>
      </c>
      <c r="D10" s="7" t="inlineStr">
        <is>
          <t>2025-03-31</t>
        </is>
      </c>
      <c r="E10" t="inlineStr">
        <is>
          <t>IFRS</t>
        </is>
      </c>
      <c r="F10" t="inlineStr">
        <is>
          <t>Annual Report</t>
        </is>
      </c>
      <c r="G10" t="n">
        <v>105000</v>
      </c>
      <c r="H10" t="n">
        <v>96000</v>
      </c>
      <c r="I10" t="n">
        <v>9000</v>
      </c>
      <c r="J10" t="n">
        <v>82000</v>
      </c>
      <c r="K10" t="n">
        <v>6500</v>
      </c>
      <c r="L10" t="n">
        <v>0</v>
      </c>
      <c r="M10" t="n">
        <v>1900</v>
      </c>
      <c r="N10" t="n">
        <v>600</v>
      </c>
      <c r="O10" t="n">
        <v>1000</v>
      </c>
      <c r="P10" t="n">
        <v>92000</v>
      </c>
      <c r="Q10" t="n">
        <v>11000</v>
      </c>
      <c r="R10" t="n">
        <v>0.129</v>
      </c>
      <c r="S10" t="n">
        <v>0.105</v>
      </c>
      <c r="T10" t="n">
        <v>0.029</v>
      </c>
      <c r="U10" t="n">
        <v>0.011</v>
      </c>
      <c r="V10" t="n">
        <v>0.097</v>
      </c>
      <c r="W10" t="n">
        <v>0.015</v>
      </c>
    </row>
    <row r="11">
      <c r="A11" t="inlineStr">
        <is>
          <t>B010</t>
        </is>
      </c>
      <c r="B11" t="inlineStr">
        <is>
          <t>Redwood Bank</t>
        </is>
      </c>
      <c r="C11" t="inlineStr">
        <is>
          <t>UK</t>
        </is>
      </c>
      <c r="D11" s="7" t="inlineStr">
        <is>
          <t>2025-03-31</t>
        </is>
      </c>
      <c r="E11" t="inlineStr">
        <is>
          <t>IFRS</t>
        </is>
      </c>
      <c r="F11" t="inlineStr">
        <is>
          <t>Annual Report</t>
        </is>
      </c>
      <c r="G11" t="n">
        <v>155000</v>
      </c>
      <c r="H11" t="n">
        <v>143000</v>
      </c>
      <c r="I11" t="n">
        <v>12000</v>
      </c>
      <c r="J11" t="n">
        <v>121000</v>
      </c>
      <c r="K11" t="n">
        <v>9200</v>
      </c>
      <c r="L11" t="n">
        <v>6500</v>
      </c>
      <c r="M11" t="n">
        <v>2500</v>
      </c>
      <c r="N11" t="n">
        <v>780</v>
      </c>
      <c r="O11" t="n">
        <v>1400</v>
      </c>
      <c r="P11" t="n">
        <v>128000</v>
      </c>
      <c r="Q11" t="n">
        <v>25000</v>
      </c>
      <c r="R11" t="n">
        <v>0.123</v>
      </c>
      <c r="S11" t="n">
        <v>0.099</v>
      </c>
      <c r="T11" t="n">
        <v>0.025</v>
      </c>
      <c r="U11" t="n">
        <v>0.01</v>
      </c>
      <c r="V11" t="n">
        <v>0.1</v>
      </c>
      <c r="W11" t="n">
        <v>0.014</v>
      </c>
    </row>
    <row r="12">
      <c r="A12" t="inlineStr">
        <is>
          <t>B011</t>
        </is>
      </c>
      <c r="B12" t="inlineStr">
        <is>
          <t>Eastwind Bank</t>
        </is>
      </c>
      <c r="C12" t="inlineStr">
        <is>
          <t>US</t>
        </is>
      </c>
      <c r="D12" s="7" t="inlineStr">
        <is>
          <t>2025-03-31</t>
        </is>
      </c>
      <c r="E12" t="inlineStr">
        <is>
          <t>US_GAAP</t>
        </is>
      </c>
      <c r="F12" t="inlineStr">
        <is>
          <t>Annual Report</t>
        </is>
      </c>
      <c r="G12" t="n">
        <v>92000</v>
      </c>
      <c r="H12" t="n">
        <v>85000</v>
      </c>
      <c r="I12" t="n">
        <v>7000</v>
      </c>
      <c r="J12" t="n">
        <v>72000</v>
      </c>
      <c r="K12" t="n">
        <v>5400</v>
      </c>
      <c r="L12" t="n">
        <v>3900</v>
      </c>
      <c r="M12" t="n">
        <v>1600</v>
      </c>
      <c r="N12" t="n">
        <v>490</v>
      </c>
      <c r="O12" t="n">
        <v>750</v>
      </c>
      <c r="P12" t="n">
        <v>78000</v>
      </c>
      <c r="Q12" t="n">
        <v>9100</v>
      </c>
      <c r="R12" t="n">
        <v>0.122</v>
      </c>
      <c r="S12" t="n">
        <v>0.099</v>
      </c>
      <c r="T12" t="n">
        <v>0.027</v>
      </c>
      <c r="U12" t="n">
        <v>0.011</v>
      </c>
      <c r="V12" t="n">
        <v>0.095</v>
      </c>
      <c r="W12" t="n">
        <v>0.016</v>
      </c>
    </row>
    <row r="13">
      <c r="A13" t="inlineStr">
        <is>
          <t>B012</t>
        </is>
      </c>
      <c r="B13" t="inlineStr">
        <is>
          <t>Silverfern Bank</t>
        </is>
      </c>
      <c r="C13" t="inlineStr">
        <is>
          <t>Singapore</t>
        </is>
      </c>
      <c r="D13" s="7" t="inlineStr">
        <is>
          <t>2025-03-31</t>
        </is>
      </c>
      <c r="E13" t="inlineStr">
        <is>
          <t>IFRS</t>
        </is>
      </c>
      <c r="F13" t="inlineStr">
        <is>
          <t>Annual Report</t>
        </is>
      </c>
      <c r="G13" t="n">
        <v>118000</v>
      </c>
      <c r="H13" t="n">
        <v>108000</v>
      </c>
      <c r="I13" t="n">
        <v>10000</v>
      </c>
      <c r="J13" t="n">
        <v>91000</v>
      </c>
      <c r="K13" t="n">
        <v>7000</v>
      </c>
      <c r="L13" t="n">
        <v>5000</v>
      </c>
      <c r="M13" t="n">
        <v>2100</v>
      </c>
      <c r="N13" t="n">
        <v>650</v>
      </c>
      <c r="O13" t="n">
        <v>1100</v>
      </c>
      <c r="P13" t="n">
        <v>98000</v>
      </c>
      <c r="Q13" t="n">
        <v>11800</v>
      </c>
      <c r="R13" t="n">
        <v>0.123</v>
      </c>
      <c r="S13" t="n">
        <v>0.1</v>
      </c>
      <c r="T13" t="n">
        <v>0.028</v>
      </c>
      <c r="U13" t="n">
        <v>0.012</v>
      </c>
      <c r="V13" t="n">
        <v>0.096</v>
      </c>
      <c r="W13" t="n">
        <v>0.015</v>
      </c>
    </row>
    <row r="14">
      <c r="A14" t="inlineStr">
        <is>
          <t>B002</t>
        </is>
      </c>
      <c r="B14" t="inlineStr">
        <is>
          <t>Rivergate Bank</t>
        </is>
      </c>
      <c r="C14" t="inlineStr">
        <is>
          <t>India</t>
        </is>
      </c>
      <c r="D14" s="7" t="inlineStr">
        <is>
          <t>2025-03-31</t>
        </is>
      </c>
      <c r="E14" t="inlineStr">
        <is>
          <t>IFRS</t>
        </is>
      </c>
      <c r="F14" t="inlineStr">
        <is>
          <t>Vendor Feed</t>
        </is>
      </c>
      <c r="G14" t="n">
        <v>98000</v>
      </c>
      <c r="H14" t="n">
        <v>90000</v>
      </c>
      <c r="I14" t="n">
        <v>8000</v>
      </c>
      <c r="J14" t="n">
        <v>76000</v>
      </c>
      <c r="K14" t="n">
        <v>6000</v>
      </c>
      <c r="L14" t="n">
        <v>4000</v>
      </c>
      <c r="M14" t="n">
        <v>1800</v>
      </c>
      <c r="N14" t="n">
        <v>550</v>
      </c>
      <c r="O14" t="n">
        <v>900</v>
      </c>
      <c r="P14" t="n">
        <v>95000</v>
      </c>
      <c r="Q14" t="n">
        <v>10200</v>
      </c>
      <c r="R14" t="n">
        <v>0.132</v>
      </c>
      <c r="S14" t="n">
        <v>0.108</v>
      </c>
      <c r="T14" t="n">
        <v>0.031</v>
      </c>
      <c r="U14" t="n">
        <v>0.014</v>
      </c>
      <c r="V14" t="n">
        <v>0.092</v>
      </c>
      <c r="W14" t="n">
        <v>0.018</v>
      </c>
    </row>
  </sheetData>
  <autoFilter ref="A1:W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9" customWidth="1" min="6" max="6"/>
    <col width="15" customWidth="1" min="7" max="7"/>
    <col width="15" customWidth="1" min="8" max="8"/>
  </cols>
  <sheetData>
    <row r="1">
      <c r="A1" s="5" t="inlineStr">
        <is>
          <t>bank_id</t>
        </is>
      </c>
      <c r="B1" s="5" t="inlineStr">
        <is>
          <t>bank_name</t>
        </is>
      </c>
      <c r="C1" s="5" t="inlineStr">
        <is>
          <t>report_date</t>
        </is>
      </c>
      <c r="D1" s="5" t="inlineStr">
        <is>
          <t>source_name</t>
        </is>
      </c>
      <c r="E1" s="5" t="inlineStr">
        <is>
          <t>total_assets</t>
        </is>
      </c>
      <c r="F1" s="5" t="inlineStr">
        <is>
          <t>total_liabilities</t>
        </is>
      </c>
      <c r="G1" s="5" t="inlineStr">
        <is>
          <t>total_equity</t>
        </is>
      </c>
      <c r="H1" s="5" t="inlineStr">
        <is>
          <t>net_income</t>
        </is>
      </c>
    </row>
    <row r="2">
      <c r="A2" t="inlineStr">
        <is>
          <t>B001</t>
        </is>
      </c>
      <c r="B2" t="inlineStr">
        <is>
          <t>Northstar Bank</t>
        </is>
      </c>
      <c r="C2" t="inlineStr">
        <is>
          <t>2025-03-31</t>
        </is>
      </c>
      <c r="D2" t="inlineStr">
        <is>
          <t>Annual Report</t>
        </is>
      </c>
      <c r="E2" t="n">
        <v>125000</v>
      </c>
      <c r="F2" t="n">
        <v>112000</v>
      </c>
      <c r="G2" t="n">
        <v>13000</v>
      </c>
      <c r="H2" t="n">
        <v>1200</v>
      </c>
    </row>
    <row r="3">
      <c r="A3" t="inlineStr">
        <is>
          <t>B001</t>
        </is>
      </c>
      <c r="B3" t="inlineStr">
        <is>
          <t>Northstar Bank</t>
        </is>
      </c>
      <c r="C3" t="inlineStr">
        <is>
          <t>2025-03-31</t>
        </is>
      </c>
      <c r="D3" t="inlineStr">
        <is>
          <t>Vendor Feed</t>
        </is>
      </c>
      <c r="E3" t="n">
        <v>125000</v>
      </c>
      <c r="F3" t="n">
        <v>112000</v>
      </c>
      <c r="G3" t="n">
        <v>13000</v>
      </c>
      <c r="H3" t="n">
        <v>1200</v>
      </c>
    </row>
    <row r="4">
      <c r="A4" t="inlineStr">
        <is>
          <t>B002</t>
        </is>
      </c>
      <c r="B4" t="inlineStr">
        <is>
          <t>Rivergate Bank</t>
        </is>
      </c>
      <c r="C4" t="inlineStr">
        <is>
          <t>2025-03-31</t>
        </is>
      </c>
      <c r="D4" t="inlineStr">
        <is>
          <t>Annual Report</t>
        </is>
      </c>
      <c r="E4" t="n">
        <v>98000</v>
      </c>
      <c r="F4" t="n">
        <v>90000</v>
      </c>
      <c r="G4" t="n">
        <v>8000</v>
      </c>
      <c r="H4" t="n">
        <v>900</v>
      </c>
    </row>
    <row r="5">
      <c r="A5" t="inlineStr">
        <is>
          <t>B002</t>
        </is>
      </c>
      <c r="B5" t="inlineStr">
        <is>
          <t>Rivergate Bank</t>
        </is>
      </c>
      <c r="C5" t="inlineStr">
        <is>
          <t>2025-03-31</t>
        </is>
      </c>
      <c r="D5" t="inlineStr">
        <is>
          <t>Vendor Feed</t>
        </is>
      </c>
      <c r="E5" t="n">
        <v>98000</v>
      </c>
      <c r="F5" t="n">
        <v>90000</v>
      </c>
      <c r="G5" t="n">
        <v>8000</v>
      </c>
      <c r="H5" t="n">
        <v>900</v>
      </c>
    </row>
    <row r="6">
      <c r="A6" t="inlineStr">
        <is>
          <t>B003</t>
        </is>
      </c>
      <c r="B6" t="inlineStr">
        <is>
          <t>Summit Commercial Bank</t>
        </is>
      </c>
      <c r="C6" t="inlineStr">
        <is>
          <t>2025-03-31</t>
        </is>
      </c>
      <c r="D6" t="inlineStr">
        <is>
          <t>Annual Report</t>
        </is>
      </c>
      <c r="E6" t="n">
        <v>210000</v>
      </c>
      <c r="F6" t="n">
        <v>194000</v>
      </c>
      <c r="H6" t="n">
        <v>2100</v>
      </c>
    </row>
    <row r="7">
      <c r="A7" t="inlineStr">
        <is>
          <t>B003</t>
        </is>
      </c>
      <c r="B7" t="inlineStr">
        <is>
          <t>Summit Commercial Bank</t>
        </is>
      </c>
      <c r="C7" t="inlineStr">
        <is>
          <t>2025-03-31</t>
        </is>
      </c>
      <c r="D7" t="inlineStr">
        <is>
          <t>Vendor Feed</t>
        </is>
      </c>
      <c r="E7" t="n">
        <v>210000</v>
      </c>
      <c r="F7" t="n">
        <v>194000</v>
      </c>
      <c r="H7" t="n">
        <v>2100</v>
      </c>
    </row>
    <row r="8">
      <c r="A8" t="inlineStr">
        <is>
          <t>B004</t>
        </is>
      </c>
      <c r="B8" t="inlineStr">
        <is>
          <t>Cedar Trust Bank</t>
        </is>
      </c>
      <c r="C8" t="inlineStr">
        <is>
          <t>2025-03-31</t>
        </is>
      </c>
      <c r="D8" t="inlineStr">
        <is>
          <t>Annual Report</t>
        </is>
      </c>
      <c r="E8" t="n">
        <v>165000</v>
      </c>
      <c r="F8" t="n">
        <v>161000</v>
      </c>
      <c r="G8" t="n">
        <v>14000</v>
      </c>
      <c r="H8" t="n">
        <v>1700</v>
      </c>
    </row>
    <row r="9">
      <c r="A9" t="inlineStr">
        <is>
          <t>B004</t>
        </is>
      </c>
      <c r="B9" t="inlineStr">
        <is>
          <t>Cedar Trust Bank</t>
        </is>
      </c>
      <c r="C9" t="inlineStr">
        <is>
          <t>2025-03-31</t>
        </is>
      </c>
      <c r="D9" t="inlineStr">
        <is>
          <t>Vendor Feed</t>
        </is>
      </c>
      <c r="E9" t="n">
        <v>165000</v>
      </c>
      <c r="F9" t="n">
        <v>161000</v>
      </c>
      <c r="G9" t="n">
        <v>14000</v>
      </c>
      <c r="H9" t="n">
        <v>1700</v>
      </c>
    </row>
    <row r="10">
      <c r="A10" t="inlineStr">
        <is>
          <t>B005</t>
        </is>
      </c>
      <c r="B10" t="inlineStr">
        <is>
          <t>BluePeak Bank</t>
        </is>
      </c>
      <c r="C10" t="inlineStr">
        <is>
          <t>2025-03-31</t>
        </is>
      </c>
      <c r="D10" t="inlineStr">
        <is>
          <t>Annual Report</t>
        </is>
      </c>
      <c r="E10" t="n">
        <v>76000</v>
      </c>
      <c r="F10" t="n">
        <v>70000</v>
      </c>
      <c r="G10" t="n">
        <v>6000</v>
      </c>
      <c r="H10" t="n">
        <v>600</v>
      </c>
    </row>
    <row r="11">
      <c r="A11" t="inlineStr">
        <is>
          <t>B005</t>
        </is>
      </c>
      <c r="B11" t="inlineStr">
        <is>
          <t>BluePeak Bank</t>
        </is>
      </c>
      <c r="C11" t="inlineStr">
        <is>
          <t>2025-03-31</t>
        </is>
      </c>
      <c r="D11" t="inlineStr">
        <is>
          <t>Vendor Feed</t>
        </is>
      </c>
      <c r="E11" t="n">
        <v>76000</v>
      </c>
      <c r="F11" t="n">
        <v>70000</v>
      </c>
      <c r="G11" t="n">
        <v>6000</v>
      </c>
      <c r="H11" t="n">
        <v>600</v>
      </c>
    </row>
    <row r="12">
      <c r="A12" t="inlineStr">
        <is>
          <t>B006</t>
        </is>
      </c>
      <c r="B12" t="inlineStr">
        <is>
          <t>Oakline Bank</t>
        </is>
      </c>
      <c r="C12" t="inlineStr">
        <is>
          <t>2025-03-31</t>
        </is>
      </c>
      <c r="D12" t="inlineStr">
        <is>
          <t>Annual Report</t>
        </is>
      </c>
      <c r="E12" t="n">
        <v>88000</v>
      </c>
      <c r="F12" t="n">
        <v>81000</v>
      </c>
      <c r="G12" t="n">
        <v>7000</v>
      </c>
      <c r="H12" t="n">
        <v>800</v>
      </c>
    </row>
    <row r="13">
      <c r="A13" t="inlineStr">
        <is>
          <t>B006</t>
        </is>
      </c>
      <c r="B13" t="inlineStr">
        <is>
          <t>Oakline Bank</t>
        </is>
      </c>
      <c r="C13" t="inlineStr">
        <is>
          <t>2025-03-31</t>
        </is>
      </c>
      <c r="D13" t="inlineStr">
        <is>
          <t>Vendor Feed</t>
        </is>
      </c>
      <c r="E13" t="n">
        <v>88000</v>
      </c>
      <c r="F13" t="n">
        <v>81000</v>
      </c>
      <c r="G13" t="n">
        <v>7000</v>
      </c>
      <c r="H13" t="n">
        <v>800</v>
      </c>
    </row>
    <row r="14">
      <c r="A14" t="inlineStr">
        <is>
          <t>B007</t>
        </is>
      </c>
      <c r="B14" t="inlineStr">
        <is>
          <t>Meridian Bank</t>
        </is>
      </c>
      <c r="C14" t="inlineStr">
        <is>
          <t>2025-03-31</t>
        </is>
      </c>
      <c r="D14" t="inlineStr">
        <is>
          <t>Annual Report</t>
        </is>
      </c>
      <c r="E14" t="n">
        <v>142000</v>
      </c>
      <c r="F14" t="n">
        <v>130000</v>
      </c>
      <c r="G14" t="n">
        <v>12000</v>
      </c>
    </row>
    <row r="15">
      <c r="A15" t="inlineStr">
        <is>
          <t>B007</t>
        </is>
      </c>
      <c r="B15" t="inlineStr">
        <is>
          <t>Meridian Bank</t>
        </is>
      </c>
      <c r="C15" t="inlineStr">
        <is>
          <t>2025-03-31</t>
        </is>
      </c>
      <c r="D15" t="inlineStr">
        <is>
          <t>Vendor Feed</t>
        </is>
      </c>
      <c r="E15" t="n">
        <v>142000</v>
      </c>
      <c r="F15" t="n">
        <v>130000</v>
      </c>
      <c r="G15" t="n">
        <v>12000</v>
      </c>
    </row>
    <row r="16">
      <c r="A16" t="inlineStr">
        <is>
          <t>B008</t>
        </is>
      </c>
      <c r="B16" t="inlineStr">
        <is>
          <t>Pinecrest Bank</t>
        </is>
      </c>
      <c r="C16" t="inlineStr">
        <is>
          <t>2025-03-31</t>
        </is>
      </c>
      <c r="D16" t="inlineStr">
        <is>
          <t>Annual Report</t>
        </is>
      </c>
      <c r="E16" t="n">
        <v>66000</v>
      </c>
      <c r="F16" t="n">
        <v>61000</v>
      </c>
      <c r="G16" t="n">
        <v>5000</v>
      </c>
      <c r="H16" t="n">
        <v>500</v>
      </c>
    </row>
    <row r="17">
      <c r="A17" t="inlineStr">
        <is>
          <t>B008</t>
        </is>
      </c>
      <c r="B17" t="inlineStr">
        <is>
          <t>Pinecrest Bank</t>
        </is>
      </c>
      <c r="C17" t="inlineStr">
        <is>
          <t>2025-03-31</t>
        </is>
      </c>
      <c r="D17" t="inlineStr">
        <is>
          <t>Vendor Feed</t>
        </is>
      </c>
      <c r="E17" t="n">
        <v>68000</v>
      </c>
      <c r="F17" t="n">
        <v>61000</v>
      </c>
      <c r="G17" t="n">
        <v>5000</v>
      </c>
      <c r="H17" t="n">
        <v>500</v>
      </c>
    </row>
    <row r="18">
      <c r="A18" t="inlineStr">
        <is>
          <t>B009</t>
        </is>
      </c>
      <c r="B18" t="inlineStr">
        <is>
          <t>Harborview Bank</t>
        </is>
      </c>
      <c r="C18" t="inlineStr">
        <is>
          <t>2025-03-31</t>
        </is>
      </c>
      <c r="D18" t="inlineStr">
        <is>
          <t>Annual Report</t>
        </is>
      </c>
      <c r="E18" t="n">
        <v>105000</v>
      </c>
      <c r="F18" t="n">
        <v>96000</v>
      </c>
      <c r="G18" t="n">
        <v>9000</v>
      </c>
      <c r="H18" t="n">
        <v>1000</v>
      </c>
    </row>
    <row r="19">
      <c r="A19" t="inlineStr">
        <is>
          <t>B009</t>
        </is>
      </c>
      <c r="B19" t="inlineStr">
        <is>
          <t>Harborview Bank</t>
        </is>
      </c>
      <c r="C19" t="inlineStr">
        <is>
          <t>2025-03-31</t>
        </is>
      </c>
      <c r="D19" t="inlineStr">
        <is>
          <t>Vendor Feed</t>
        </is>
      </c>
      <c r="E19" t="n">
        <v>105000</v>
      </c>
      <c r="F19" t="n">
        <v>96000</v>
      </c>
      <c r="G19" t="n">
        <v>9000</v>
      </c>
      <c r="H19" t="n">
        <v>1000</v>
      </c>
    </row>
    <row r="20">
      <c r="A20" t="inlineStr">
        <is>
          <t>B010</t>
        </is>
      </c>
      <c r="B20" t="inlineStr">
        <is>
          <t>Redwood Bank</t>
        </is>
      </c>
      <c r="C20" t="inlineStr">
        <is>
          <t>2025-03-31</t>
        </is>
      </c>
      <c r="D20" t="inlineStr">
        <is>
          <t>Annual Report</t>
        </is>
      </c>
      <c r="E20" t="n">
        <v>155000</v>
      </c>
      <c r="F20" t="n">
        <v>143000</v>
      </c>
      <c r="G20" t="n">
        <v>12000</v>
      </c>
      <c r="H20" t="n">
        <v>1400</v>
      </c>
    </row>
    <row r="21">
      <c r="A21" t="inlineStr">
        <is>
          <t>B010</t>
        </is>
      </c>
      <c r="B21" t="inlineStr">
        <is>
          <t>Redwood Bank</t>
        </is>
      </c>
      <c r="C21" t="inlineStr">
        <is>
          <t>2025-03-31</t>
        </is>
      </c>
      <c r="D21" t="inlineStr">
        <is>
          <t>Vendor Feed</t>
        </is>
      </c>
      <c r="E21" t="n">
        <v>155000</v>
      </c>
      <c r="F21" t="n">
        <v>143000</v>
      </c>
      <c r="G21" t="n">
        <v>12000</v>
      </c>
      <c r="H21" t="n">
        <v>1400</v>
      </c>
    </row>
    <row r="22">
      <c r="A22" t="inlineStr">
        <is>
          <t>B011</t>
        </is>
      </c>
      <c r="B22" t="inlineStr">
        <is>
          <t>Eastwind Bank</t>
        </is>
      </c>
      <c r="C22" t="inlineStr">
        <is>
          <t>2025-03-31</t>
        </is>
      </c>
      <c r="D22" t="inlineStr">
        <is>
          <t>Annual Report</t>
        </is>
      </c>
      <c r="E22" t="n">
        <v>92000</v>
      </c>
      <c r="F22" t="n">
        <v>85000</v>
      </c>
      <c r="G22" t="n">
        <v>7000</v>
      </c>
      <c r="H22" t="n">
        <v>750</v>
      </c>
    </row>
    <row r="23">
      <c r="A23" t="inlineStr">
        <is>
          <t>B011</t>
        </is>
      </c>
      <c r="B23" t="inlineStr">
        <is>
          <t>Eastwind Bank</t>
        </is>
      </c>
      <c r="C23" t="inlineStr">
        <is>
          <t>2025-03-31</t>
        </is>
      </c>
      <c r="D23" t="inlineStr">
        <is>
          <t>Vendor Feed</t>
        </is>
      </c>
      <c r="E23" t="n">
        <v>92000</v>
      </c>
      <c r="F23" t="n">
        <v>85000</v>
      </c>
      <c r="G23" t="n">
        <v>7000</v>
      </c>
      <c r="H23" t="n">
        <v>9300</v>
      </c>
    </row>
    <row r="24">
      <c r="A24" t="inlineStr">
        <is>
          <t>B012</t>
        </is>
      </c>
      <c r="B24" t="inlineStr">
        <is>
          <t>Silverfern Bank</t>
        </is>
      </c>
      <c r="C24" t="inlineStr">
        <is>
          <t>2025-03-31</t>
        </is>
      </c>
      <c r="D24" t="inlineStr">
        <is>
          <t>Annual Report</t>
        </is>
      </c>
      <c r="E24" t="n">
        <v>118000</v>
      </c>
      <c r="F24" t="n">
        <v>108000</v>
      </c>
      <c r="G24" t="n">
        <v>10000</v>
      </c>
      <c r="H24" t="n">
        <v>1100</v>
      </c>
    </row>
    <row r="25">
      <c r="A25" t="inlineStr">
        <is>
          <t>B012</t>
        </is>
      </c>
      <c r="B25" t="inlineStr">
        <is>
          <t>Silverfern Bank</t>
        </is>
      </c>
      <c r="C25" t="inlineStr">
        <is>
          <t>2025-03-31</t>
        </is>
      </c>
      <c r="D25" t="inlineStr">
        <is>
          <t>Vendor Feed</t>
        </is>
      </c>
      <c r="E25" t="n">
        <v>118000</v>
      </c>
      <c r="F25" t="n">
        <v>108000</v>
      </c>
      <c r="G25" t="n">
        <v>10000</v>
      </c>
      <c r="H25" t="n">
        <v>1100</v>
      </c>
    </row>
  </sheetData>
  <autoFilter ref="A1:H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25" customWidth="1" min="5" max="5"/>
    <col width="22" customWidth="1" min="6" max="6"/>
    <col width="15" customWidth="1" min="7" max="7"/>
    <col width="25" customWidth="1" min="8" max="8"/>
    <col width="16" customWidth="1" min="9" max="9"/>
    <col width="23" customWidth="1" min="10" max="10"/>
    <col width="17" customWidth="1" min="11" max="11"/>
    <col width="17" customWidth="1" min="12" max="12"/>
    <col width="17" customWidth="1" min="13" max="13"/>
    <col width="15" customWidth="1" min="14" max="14"/>
    <col width="15" customWidth="1" min="15" max="15"/>
    <col width="16" customWidth="1" min="16" max="16"/>
    <col width="17" customWidth="1" min="17" max="17"/>
  </cols>
  <sheetData>
    <row r="1">
      <c r="A1" s="6" t="inlineStr">
        <is>
          <t>bank_id</t>
        </is>
      </c>
      <c r="B1" s="6" t="inlineStr">
        <is>
          <t>bank_name</t>
        </is>
      </c>
      <c r="C1" s="6" t="inlineStr">
        <is>
          <t>report_date</t>
        </is>
      </c>
      <c r="D1" s="6" t="inlineStr">
        <is>
          <t>Missing Critical?</t>
        </is>
      </c>
      <c r="E1" s="6" t="inlineStr">
        <is>
          <t>Duplicate Bank-Period?</t>
        </is>
      </c>
      <c r="F1" s="6" t="inlineStr">
        <is>
          <t>Balance Sheet Check</t>
        </is>
      </c>
      <c r="G1" s="6" t="inlineStr">
        <is>
          <t>NPL Check</t>
        </is>
      </c>
      <c r="H1" s="6" t="inlineStr">
        <is>
          <t>Interest Expense Check</t>
        </is>
      </c>
      <c r="I1" s="6" t="inlineStr">
        <is>
          <t>Deposit Check</t>
        </is>
      </c>
      <c r="J1" s="6" t="inlineStr">
        <is>
          <t>Calculated NPL Ratio</t>
        </is>
      </c>
      <c r="K1" s="6" t="inlineStr">
        <is>
          <t>Calculated CAR</t>
        </is>
      </c>
      <c r="L1" s="6" t="inlineStr">
        <is>
          <t>Calculated ROA</t>
        </is>
      </c>
      <c r="M1" s="6" t="inlineStr">
        <is>
          <t>Calculated ROE</t>
        </is>
      </c>
      <c r="N1" s="6" t="inlineStr">
        <is>
          <t>NIM Proxy</t>
        </is>
      </c>
      <c r="O1" s="6" t="inlineStr">
        <is>
          <t>Ratio Check</t>
        </is>
      </c>
      <c r="P1" s="6" t="inlineStr">
        <is>
          <t>Review Status</t>
        </is>
      </c>
      <c r="Q1" s="6" t="inlineStr">
        <is>
          <t>Reviewer Notes</t>
        </is>
      </c>
    </row>
    <row r="2">
      <c r="A2">
        <f>Raw_Data!A2</f>
        <v/>
      </c>
      <c r="B2">
        <f>Raw_Data!B2</f>
        <v/>
      </c>
      <c r="C2">
        <f>Raw_Data!D2</f>
        <v/>
      </c>
      <c r="D2">
        <f>IF(OR(Raw_Data!G2="",Raw_Data!I2="",Raw_Data!O2=""),"EXCEPTION","PASS")</f>
        <v/>
      </c>
      <c r="E2">
        <f>IF(COUNTIFS(Raw_Data!A:A,A2,Raw_Data!D:D,C2)&gt;1,"EXCEPTION","PASS")</f>
        <v/>
      </c>
      <c r="F2">
        <f>IF(OR(Raw_Data!G2="",Raw_Data!H2="",Raw_Data!I2=""),"REVIEW",IF(ABS(Raw_Data!G2-Raw_Data!H2-Raw_Data!I2)&gt;1,"EXCEPTION","PASS"))</f>
        <v/>
      </c>
      <c r="G2">
        <f>IF(OR(Raw_Data!K2="",Raw_Data!J2=""),"REVIEW",IF(Raw_Data!K2&gt;Raw_Data!J2,"EXCEPTION","PASS"))</f>
        <v/>
      </c>
      <c r="H2">
        <f>IF(Raw_Data!N2="","REVIEW",IF(Raw_Data!N2&lt;0,"EXCEPTION","PASS"))</f>
        <v/>
      </c>
      <c r="I2">
        <f>IF(Raw_Data!L2="","REVIEW",IF(Raw_Data!L2&lt;=0,"EXCEPTION","PASS"))</f>
        <v/>
      </c>
      <c r="J2" s="8">
        <f>IFERROR(Raw_Data!K2/Raw_Data!J2,"")</f>
        <v/>
      </c>
      <c r="K2" s="8">
        <f>IFERROR(Raw_Data!Q2/Raw_Data!P2,"")</f>
        <v/>
      </c>
      <c r="L2" s="8">
        <f>IFERROR(Raw_Data!O2/Raw_Data!G2,"")</f>
        <v/>
      </c>
      <c r="M2" s="8">
        <f>IFERROR(Raw_Data!O2/Raw_Data!I2,"")</f>
        <v/>
      </c>
      <c r="N2" s="8">
        <f>IFERROR((Raw_Data!M2-Raw_Data!N2)/Raw_Data!G2,"")</f>
        <v/>
      </c>
      <c r="O2">
        <f>IF(OR(J2="",K2="",L2="",M2="",N2=""),"REVIEW",IF(OR(ABS(J2-Raw_Data!R2)&gt;0.005,ABS(K2-Raw_Data!S2)&gt;0.005,ABS(L2-Raw_Data!T2)&gt;0.005,ABS(M2-Raw_Data!U2)&gt;0.005,ABS(N2-Raw_Data!V2)&gt;0.005),"CHECK","PASS"))</f>
        <v/>
      </c>
      <c r="P2" t="inlineStr">
        <is>
          <t>Open</t>
        </is>
      </c>
    </row>
    <row r="3">
      <c r="A3">
        <f>Raw_Data!A3</f>
        <v/>
      </c>
      <c r="B3">
        <f>Raw_Data!B3</f>
        <v/>
      </c>
      <c r="C3">
        <f>Raw_Data!D3</f>
        <v/>
      </c>
      <c r="D3">
        <f>IF(OR(Raw_Data!G3="",Raw_Data!I3="",Raw_Data!O3=""),"EXCEPTION","PASS")</f>
        <v/>
      </c>
      <c r="E3">
        <f>IF(COUNTIFS(Raw_Data!A:A,A3,Raw_Data!D:D,C3)&gt;1,"EXCEPTION","PASS")</f>
        <v/>
      </c>
      <c r="F3">
        <f>IF(OR(Raw_Data!G3="",Raw_Data!H3="",Raw_Data!I3=""),"REVIEW",IF(ABS(Raw_Data!G3-Raw_Data!H3-Raw_Data!I3)&gt;1,"EXCEPTION","PASS"))</f>
        <v/>
      </c>
      <c r="G3">
        <f>IF(OR(Raw_Data!K3="",Raw_Data!J3=""),"REVIEW",IF(Raw_Data!K3&gt;Raw_Data!J3,"EXCEPTION","PASS"))</f>
        <v/>
      </c>
      <c r="H3">
        <f>IF(Raw_Data!N3="","REVIEW",IF(Raw_Data!N3&lt;0,"EXCEPTION","PASS"))</f>
        <v/>
      </c>
      <c r="I3">
        <f>IF(Raw_Data!L3="","REVIEW",IF(Raw_Data!L3&lt;=0,"EXCEPTION","PASS"))</f>
        <v/>
      </c>
      <c r="J3" s="8">
        <f>IFERROR(Raw_Data!K3/Raw_Data!J3,"")</f>
        <v/>
      </c>
      <c r="K3" s="8">
        <f>IFERROR(Raw_Data!Q3/Raw_Data!P3,"")</f>
        <v/>
      </c>
      <c r="L3" s="8">
        <f>IFERROR(Raw_Data!O3/Raw_Data!G3,"")</f>
        <v/>
      </c>
      <c r="M3" s="8">
        <f>IFERROR(Raw_Data!O3/Raw_Data!I3,"")</f>
        <v/>
      </c>
      <c r="N3" s="8">
        <f>IFERROR((Raw_Data!M3-Raw_Data!N3)/Raw_Data!G3,"")</f>
        <v/>
      </c>
      <c r="O3">
        <f>IF(OR(J3="",K3="",L3="",M3="",N3=""),"REVIEW",IF(OR(ABS(J3-Raw_Data!R3)&gt;0.005,ABS(K3-Raw_Data!S3)&gt;0.005,ABS(L3-Raw_Data!T3)&gt;0.005,ABS(M3-Raw_Data!U3)&gt;0.005,ABS(N3-Raw_Data!V3)&gt;0.005),"CHECK","PASS"))</f>
        <v/>
      </c>
      <c r="P3" t="inlineStr">
        <is>
          <t>Open</t>
        </is>
      </c>
    </row>
    <row r="4">
      <c r="A4">
        <f>Raw_Data!A4</f>
        <v/>
      </c>
      <c r="B4">
        <f>Raw_Data!B4</f>
        <v/>
      </c>
      <c r="C4">
        <f>Raw_Data!D4</f>
        <v/>
      </c>
      <c r="D4">
        <f>IF(OR(Raw_Data!G4="",Raw_Data!I4="",Raw_Data!O4=""),"EXCEPTION","PASS")</f>
        <v/>
      </c>
      <c r="E4">
        <f>IF(COUNTIFS(Raw_Data!A:A,A4,Raw_Data!D:D,C4)&gt;1,"EXCEPTION","PASS")</f>
        <v/>
      </c>
      <c r="F4">
        <f>IF(OR(Raw_Data!G4="",Raw_Data!H4="",Raw_Data!I4=""),"REVIEW",IF(ABS(Raw_Data!G4-Raw_Data!H4-Raw_Data!I4)&gt;1,"EXCEPTION","PASS"))</f>
        <v/>
      </c>
      <c r="G4">
        <f>IF(OR(Raw_Data!K4="",Raw_Data!J4=""),"REVIEW",IF(Raw_Data!K4&gt;Raw_Data!J4,"EXCEPTION","PASS"))</f>
        <v/>
      </c>
      <c r="H4">
        <f>IF(Raw_Data!N4="","REVIEW",IF(Raw_Data!N4&lt;0,"EXCEPTION","PASS"))</f>
        <v/>
      </c>
      <c r="I4">
        <f>IF(Raw_Data!L4="","REVIEW",IF(Raw_Data!L4&lt;=0,"EXCEPTION","PASS"))</f>
        <v/>
      </c>
      <c r="J4" s="8">
        <f>IFERROR(Raw_Data!K4/Raw_Data!J4,"")</f>
        <v/>
      </c>
      <c r="K4" s="8">
        <f>IFERROR(Raw_Data!Q4/Raw_Data!P4,"")</f>
        <v/>
      </c>
      <c r="L4" s="8">
        <f>IFERROR(Raw_Data!O4/Raw_Data!G4,"")</f>
        <v/>
      </c>
      <c r="M4" s="8">
        <f>IFERROR(Raw_Data!O4/Raw_Data!I4,"")</f>
        <v/>
      </c>
      <c r="N4" s="8">
        <f>IFERROR((Raw_Data!M4-Raw_Data!N4)/Raw_Data!G4,"")</f>
        <v/>
      </c>
      <c r="O4">
        <f>IF(OR(J4="",K4="",L4="",M4="",N4=""),"REVIEW",IF(OR(ABS(J4-Raw_Data!R4)&gt;0.005,ABS(K4-Raw_Data!S4)&gt;0.005,ABS(L4-Raw_Data!T4)&gt;0.005,ABS(M4-Raw_Data!U4)&gt;0.005,ABS(N4-Raw_Data!V4)&gt;0.005),"CHECK","PASS"))</f>
        <v/>
      </c>
      <c r="P4" t="inlineStr">
        <is>
          <t>Open</t>
        </is>
      </c>
    </row>
    <row r="5">
      <c r="A5">
        <f>Raw_Data!A5</f>
        <v/>
      </c>
      <c r="B5">
        <f>Raw_Data!B5</f>
        <v/>
      </c>
      <c r="C5">
        <f>Raw_Data!D5</f>
        <v/>
      </c>
      <c r="D5">
        <f>IF(OR(Raw_Data!G5="",Raw_Data!I5="",Raw_Data!O5=""),"EXCEPTION","PASS")</f>
        <v/>
      </c>
      <c r="E5">
        <f>IF(COUNTIFS(Raw_Data!A:A,A5,Raw_Data!D:D,C5)&gt;1,"EXCEPTION","PASS")</f>
        <v/>
      </c>
      <c r="F5">
        <f>IF(OR(Raw_Data!G5="",Raw_Data!H5="",Raw_Data!I5=""),"REVIEW",IF(ABS(Raw_Data!G5-Raw_Data!H5-Raw_Data!I5)&gt;1,"EXCEPTION","PASS"))</f>
        <v/>
      </c>
      <c r="G5">
        <f>IF(OR(Raw_Data!K5="",Raw_Data!J5=""),"REVIEW",IF(Raw_Data!K5&gt;Raw_Data!J5,"EXCEPTION","PASS"))</f>
        <v/>
      </c>
      <c r="H5">
        <f>IF(Raw_Data!N5="","REVIEW",IF(Raw_Data!N5&lt;0,"EXCEPTION","PASS"))</f>
        <v/>
      </c>
      <c r="I5">
        <f>IF(Raw_Data!L5="","REVIEW",IF(Raw_Data!L5&lt;=0,"EXCEPTION","PASS"))</f>
        <v/>
      </c>
      <c r="J5" s="8">
        <f>IFERROR(Raw_Data!K5/Raw_Data!J5,"")</f>
        <v/>
      </c>
      <c r="K5" s="8">
        <f>IFERROR(Raw_Data!Q5/Raw_Data!P5,"")</f>
        <v/>
      </c>
      <c r="L5" s="8">
        <f>IFERROR(Raw_Data!O5/Raw_Data!G5,"")</f>
        <v/>
      </c>
      <c r="M5" s="8">
        <f>IFERROR(Raw_Data!O5/Raw_Data!I5,"")</f>
        <v/>
      </c>
      <c r="N5" s="8">
        <f>IFERROR((Raw_Data!M5-Raw_Data!N5)/Raw_Data!G5,"")</f>
        <v/>
      </c>
      <c r="O5">
        <f>IF(OR(J5="",K5="",L5="",M5="",N5=""),"REVIEW",IF(OR(ABS(J5-Raw_Data!R5)&gt;0.005,ABS(K5-Raw_Data!S5)&gt;0.005,ABS(L5-Raw_Data!T5)&gt;0.005,ABS(M5-Raw_Data!U5)&gt;0.005,ABS(N5-Raw_Data!V5)&gt;0.005),"CHECK","PASS"))</f>
        <v/>
      </c>
      <c r="P5" t="inlineStr">
        <is>
          <t>Open</t>
        </is>
      </c>
    </row>
    <row r="6">
      <c r="A6">
        <f>Raw_Data!A6</f>
        <v/>
      </c>
      <c r="B6">
        <f>Raw_Data!B6</f>
        <v/>
      </c>
      <c r="C6">
        <f>Raw_Data!D6</f>
        <v/>
      </c>
      <c r="D6">
        <f>IF(OR(Raw_Data!G6="",Raw_Data!I6="",Raw_Data!O6=""),"EXCEPTION","PASS")</f>
        <v/>
      </c>
      <c r="E6">
        <f>IF(COUNTIFS(Raw_Data!A:A,A6,Raw_Data!D:D,C6)&gt;1,"EXCEPTION","PASS")</f>
        <v/>
      </c>
      <c r="F6">
        <f>IF(OR(Raw_Data!G6="",Raw_Data!H6="",Raw_Data!I6=""),"REVIEW",IF(ABS(Raw_Data!G6-Raw_Data!H6-Raw_Data!I6)&gt;1,"EXCEPTION","PASS"))</f>
        <v/>
      </c>
      <c r="G6">
        <f>IF(OR(Raw_Data!K6="",Raw_Data!J6=""),"REVIEW",IF(Raw_Data!K6&gt;Raw_Data!J6,"EXCEPTION","PASS"))</f>
        <v/>
      </c>
      <c r="H6">
        <f>IF(Raw_Data!N6="","REVIEW",IF(Raw_Data!N6&lt;0,"EXCEPTION","PASS"))</f>
        <v/>
      </c>
      <c r="I6">
        <f>IF(Raw_Data!L6="","REVIEW",IF(Raw_Data!L6&lt;=0,"EXCEPTION","PASS"))</f>
        <v/>
      </c>
      <c r="J6" s="8">
        <f>IFERROR(Raw_Data!K6/Raw_Data!J6,"")</f>
        <v/>
      </c>
      <c r="K6" s="8">
        <f>IFERROR(Raw_Data!Q6/Raw_Data!P6,"")</f>
        <v/>
      </c>
      <c r="L6" s="8">
        <f>IFERROR(Raw_Data!O6/Raw_Data!G6,"")</f>
        <v/>
      </c>
      <c r="M6" s="8">
        <f>IFERROR(Raw_Data!O6/Raw_Data!I6,"")</f>
        <v/>
      </c>
      <c r="N6" s="8">
        <f>IFERROR((Raw_Data!M6-Raw_Data!N6)/Raw_Data!G6,"")</f>
        <v/>
      </c>
      <c r="O6">
        <f>IF(OR(J6="",K6="",L6="",M6="",N6=""),"REVIEW",IF(OR(ABS(J6-Raw_Data!R6)&gt;0.005,ABS(K6-Raw_Data!S6)&gt;0.005,ABS(L6-Raw_Data!T6)&gt;0.005,ABS(M6-Raw_Data!U6)&gt;0.005,ABS(N6-Raw_Data!V6)&gt;0.005),"CHECK","PASS"))</f>
        <v/>
      </c>
      <c r="P6" t="inlineStr">
        <is>
          <t>Open</t>
        </is>
      </c>
    </row>
    <row r="7">
      <c r="A7">
        <f>Raw_Data!A7</f>
        <v/>
      </c>
      <c r="B7">
        <f>Raw_Data!B7</f>
        <v/>
      </c>
      <c r="C7">
        <f>Raw_Data!D7</f>
        <v/>
      </c>
      <c r="D7">
        <f>IF(OR(Raw_Data!G7="",Raw_Data!I7="",Raw_Data!O7=""),"EXCEPTION","PASS")</f>
        <v/>
      </c>
      <c r="E7">
        <f>IF(COUNTIFS(Raw_Data!A:A,A7,Raw_Data!D:D,C7)&gt;1,"EXCEPTION","PASS")</f>
        <v/>
      </c>
      <c r="F7">
        <f>IF(OR(Raw_Data!G7="",Raw_Data!H7="",Raw_Data!I7=""),"REVIEW",IF(ABS(Raw_Data!G7-Raw_Data!H7-Raw_Data!I7)&gt;1,"EXCEPTION","PASS"))</f>
        <v/>
      </c>
      <c r="G7">
        <f>IF(OR(Raw_Data!K7="",Raw_Data!J7=""),"REVIEW",IF(Raw_Data!K7&gt;Raw_Data!J7,"EXCEPTION","PASS"))</f>
        <v/>
      </c>
      <c r="H7">
        <f>IF(Raw_Data!N7="","REVIEW",IF(Raw_Data!N7&lt;0,"EXCEPTION","PASS"))</f>
        <v/>
      </c>
      <c r="I7">
        <f>IF(Raw_Data!L7="","REVIEW",IF(Raw_Data!L7&lt;=0,"EXCEPTION","PASS"))</f>
        <v/>
      </c>
      <c r="J7" s="8">
        <f>IFERROR(Raw_Data!K7/Raw_Data!J7,"")</f>
        <v/>
      </c>
      <c r="K7" s="8">
        <f>IFERROR(Raw_Data!Q7/Raw_Data!P7,"")</f>
        <v/>
      </c>
      <c r="L7" s="8">
        <f>IFERROR(Raw_Data!O7/Raw_Data!G7,"")</f>
        <v/>
      </c>
      <c r="M7" s="8">
        <f>IFERROR(Raw_Data!O7/Raw_Data!I7,"")</f>
        <v/>
      </c>
      <c r="N7" s="8">
        <f>IFERROR((Raw_Data!M7-Raw_Data!N7)/Raw_Data!G7,"")</f>
        <v/>
      </c>
      <c r="O7">
        <f>IF(OR(J7="",K7="",L7="",M7="",N7=""),"REVIEW",IF(OR(ABS(J7-Raw_Data!R7)&gt;0.005,ABS(K7-Raw_Data!S7)&gt;0.005,ABS(L7-Raw_Data!T7)&gt;0.005,ABS(M7-Raw_Data!U7)&gt;0.005,ABS(N7-Raw_Data!V7)&gt;0.005),"CHECK","PASS"))</f>
        <v/>
      </c>
      <c r="P7" t="inlineStr">
        <is>
          <t>Open</t>
        </is>
      </c>
    </row>
    <row r="8">
      <c r="A8">
        <f>Raw_Data!A8</f>
        <v/>
      </c>
      <c r="B8">
        <f>Raw_Data!B8</f>
        <v/>
      </c>
      <c r="C8">
        <f>Raw_Data!D8</f>
        <v/>
      </c>
      <c r="D8">
        <f>IF(OR(Raw_Data!G8="",Raw_Data!I8="",Raw_Data!O8=""),"EXCEPTION","PASS")</f>
        <v/>
      </c>
      <c r="E8">
        <f>IF(COUNTIFS(Raw_Data!A:A,A8,Raw_Data!D:D,C8)&gt;1,"EXCEPTION","PASS")</f>
        <v/>
      </c>
      <c r="F8">
        <f>IF(OR(Raw_Data!G8="",Raw_Data!H8="",Raw_Data!I8=""),"REVIEW",IF(ABS(Raw_Data!G8-Raw_Data!H8-Raw_Data!I8)&gt;1,"EXCEPTION","PASS"))</f>
        <v/>
      </c>
      <c r="G8">
        <f>IF(OR(Raw_Data!K8="",Raw_Data!J8=""),"REVIEW",IF(Raw_Data!K8&gt;Raw_Data!J8,"EXCEPTION","PASS"))</f>
        <v/>
      </c>
      <c r="H8">
        <f>IF(Raw_Data!N8="","REVIEW",IF(Raw_Data!N8&lt;0,"EXCEPTION","PASS"))</f>
        <v/>
      </c>
      <c r="I8">
        <f>IF(Raw_Data!L8="","REVIEW",IF(Raw_Data!L8&lt;=0,"EXCEPTION","PASS"))</f>
        <v/>
      </c>
      <c r="J8" s="8">
        <f>IFERROR(Raw_Data!K8/Raw_Data!J8,"")</f>
        <v/>
      </c>
      <c r="K8" s="8">
        <f>IFERROR(Raw_Data!Q8/Raw_Data!P8,"")</f>
        <v/>
      </c>
      <c r="L8" s="8">
        <f>IFERROR(Raw_Data!O8/Raw_Data!G8,"")</f>
        <v/>
      </c>
      <c r="M8" s="8">
        <f>IFERROR(Raw_Data!O8/Raw_Data!I8,"")</f>
        <v/>
      </c>
      <c r="N8" s="8">
        <f>IFERROR((Raw_Data!M8-Raw_Data!N8)/Raw_Data!G8,"")</f>
        <v/>
      </c>
      <c r="O8">
        <f>IF(OR(J8="",K8="",L8="",M8="",N8=""),"REVIEW",IF(OR(ABS(J8-Raw_Data!R8)&gt;0.005,ABS(K8-Raw_Data!S8)&gt;0.005,ABS(L8-Raw_Data!T8)&gt;0.005,ABS(M8-Raw_Data!U8)&gt;0.005,ABS(N8-Raw_Data!V8)&gt;0.005),"CHECK","PASS"))</f>
        <v/>
      </c>
      <c r="P8" t="inlineStr">
        <is>
          <t>Open</t>
        </is>
      </c>
    </row>
    <row r="9">
      <c r="A9">
        <f>Raw_Data!A9</f>
        <v/>
      </c>
      <c r="B9">
        <f>Raw_Data!B9</f>
        <v/>
      </c>
      <c r="C9">
        <f>Raw_Data!D9</f>
        <v/>
      </c>
      <c r="D9">
        <f>IF(OR(Raw_Data!G9="",Raw_Data!I9="",Raw_Data!O9=""),"EXCEPTION","PASS")</f>
        <v/>
      </c>
      <c r="E9">
        <f>IF(COUNTIFS(Raw_Data!A:A,A9,Raw_Data!D:D,C9)&gt;1,"EXCEPTION","PASS")</f>
        <v/>
      </c>
      <c r="F9">
        <f>IF(OR(Raw_Data!G9="",Raw_Data!H9="",Raw_Data!I9=""),"REVIEW",IF(ABS(Raw_Data!G9-Raw_Data!H9-Raw_Data!I9)&gt;1,"EXCEPTION","PASS"))</f>
        <v/>
      </c>
      <c r="G9">
        <f>IF(OR(Raw_Data!K9="",Raw_Data!J9=""),"REVIEW",IF(Raw_Data!K9&gt;Raw_Data!J9,"EXCEPTION","PASS"))</f>
        <v/>
      </c>
      <c r="H9">
        <f>IF(Raw_Data!N9="","REVIEW",IF(Raw_Data!N9&lt;0,"EXCEPTION","PASS"))</f>
        <v/>
      </c>
      <c r="I9">
        <f>IF(Raw_Data!L9="","REVIEW",IF(Raw_Data!L9&lt;=0,"EXCEPTION","PASS"))</f>
        <v/>
      </c>
      <c r="J9" s="8">
        <f>IFERROR(Raw_Data!K9/Raw_Data!J9,"")</f>
        <v/>
      </c>
      <c r="K9" s="8">
        <f>IFERROR(Raw_Data!Q9/Raw_Data!P9,"")</f>
        <v/>
      </c>
      <c r="L9" s="8">
        <f>IFERROR(Raw_Data!O9/Raw_Data!G9,"")</f>
        <v/>
      </c>
      <c r="M9" s="8">
        <f>IFERROR(Raw_Data!O9/Raw_Data!I9,"")</f>
        <v/>
      </c>
      <c r="N9" s="8">
        <f>IFERROR((Raw_Data!M9-Raw_Data!N9)/Raw_Data!G9,"")</f>
        <v/>
      </c>
      <c r="O9">
        <f>IF(OR(J9="",K9="",L9="",M9="",N9=""),"REVIEW",IF(OR(ABS(J9-Raw_Data!R9)&gt;0.005,ABS(K9-Raw_Data!S9)&gt;0.005,ABS(L9-Raw_Data!T9)&gt;0.005,ABS(M9-Raw_Data!U9)&gt;0.005,ABS(N9-Raw_Data!V9)&gt;0.005),"CHECK","PASS"))</f>
        <v/>
      </c>
      <c r="P9" t="inlineStr">
        <is>
          <t>Open</t>
        </is>
      </c>
    </row>
    <row r="10">
      <c r="A10">
        <f>Raw_Data!A10</f>
        <v/>
      </c>
      <c r="B10">
        <f>Raw_Data!B10</f>
        <v/>
      </c>
      <c r="C10">
        <f>Raw_Data!D10</f>
        <v/>
      </c>
      <c r="D10">
        <f>IF(OR(Raw_Data!G10="",Raw_Data!I10="",Raw_Data!O10=""),"EXCEPTION","PASS")</f>
        <v/>
      </c>
      <c r="E10">
        <f>IF(COUNTIFS(Raw_Data!A:A,A10,Raw_Data!D:D,C10)&gt;1,"EXCEPTION","PASS")</f>
        <v/>
      </c>
      <c r="F10">
        <f>IF(OR(Raw_Data!G10="",Raw_Data!H10="",Raw_Data!I10=""),"REVIEW",IF(ABS(Raw_Data!G10-Raw_Data!H10-Raw_Data!I10)&gt;1,"EXCEPTION","PASS"))</f>
        <v/>
      </c>
      <c r="G10">
        <f>IF(OR(Raw_Data!K10="",Raw_Data!J10=""),"REVIEW",IF(Raw_Data!K10&gt;Raw_Data!J10,"EXCEPTION","PASS"))</f>
        <v/>
      </c>
      <c r="H10">
        <f>IF(Raw_Data!N10="","REVIEW",IF(Raw_Data!N10&lt;0,"EXCEPTION","PASS"))</f>
        <v/>
      </c>
      <c r="I10">
        <f>IF(Raw_Data!L10="","REVIEW",IF(Raw_Data!L10&lt;=0,"EXCEPTION","PASS"))</f>
        <v/>
      </c>
      <c r="J10" s="8">
        <f>IFERROR(Raw_Data!K10/Raw_Data!J10,"")</f>
        <v/>
      </c>
      <c r="K10" s="8">
        <f>IFERROR(Raw_Data!Q10/Raw_Data!P10,"")</f>
        <v/>
      </c>
      <c r="L10" s="8">
        <f>IFERROR(Raw_Data!O10/Raw_Data!G10,"")</f>
        <v/>
      </c>
      <c r="M10" s="8">
        <f>IFERROR(Raw_Data!O10/Raw_Data!I10,"")</f>
        <v/>
      </c>
      <c r="N10" s="8">
        <f>IFERROR((Raw_Data!M10-Raw_Data!N10)/Raw_Data!G10,"")</f>
        <v/>
      </c>
      <c r="O10">
        <f>IF(OR(J10="",K10="",L10="",M10="",N10=""),"REVIEW",IF(OR(ABS(J10-Raw_Data!R10)&gt;0.005,ABS(K10-Raw_Data!S10)&gt;0.005,ABS(L10-Raw_Data!T10)&gt;0.005,ABS(M10-Raw_Data!U10)&gt;0.005,ABS(N10-Raw_Data!V10)&gt;0.005),"CHECK","PASS"))</f>
        <v/>
      </c>
      <c r="P10" t="inlineStr">
        <is>
          <t>Open</t>
        </is>
      </c>
    </row>
    <row r="11">
      <c r="A11">
        <f>Raw_Data!A11</f>
        <v/>
      </c>
      <c r="B11">
        <f>Raw_Data!B11</f>
        <v/>
      </c>
      <c r="C11">
        <f>Raw_Data!D11</f>
        <v/>
      </c>
      <c r="D11">
        <f>IF(OR(Raw_Data!G11="",Raw_Data!I11="",Raw_Data!O11=""),"EXCEPTION","PASS")</f>
        <v/>
      </c>
      <c r="E11">
        <f>IF(COUNTIFS(Raw_Data!A:A,A11,Raw_Data!D:D,C11)&gt;1,"EXCEPTION","PASS")</f>
        <v/>
      </c>
      <c r="F11">
        <f>IF(OR(Raw_Data!G11="",Raw_Data!H11="",Raw_Data!I11=""),"REVIEW",IF(ABS(Raw_Data!G11-Raw_Data!H11-Raw_Data!I11)&gt;1,"EXCEPTION","PASS"))</f>
        <v/>
      </c>
      <c r="G11">
        <f>IF(OR(Raw_Data!K11="",Raw_Data!J11=""),"REVIEW",IF(Raw_Data!K11&gt;Raw_Data!J11,"EXCEPTION","PASS"))</f>
        <v/>
      </c>
      <c r="H11">
        <f>IF(Raw_Data!N11="","REVIEW",IF(Raw_Data!N11&lt;0,"EXCEPTION","PASS"))</f>
        <v/>
      </c>
      <c r="I11">
        <f>IF(Raw_Data!L11="","REVIEW",IF(Raw_Data!L11&lt;=0,"EXCEPTION","PASS"))</f>
        <v/>
      </c>
      <c r="J11" s="8">
        <f>IFERROR(Raw_Data!K11/Raw_Data!J11,"")</f>
        <v/>
      </c>
      <c r="K11" s="8">
        <f>IFERROR(Raw_Data!Q11/Raw_Data!P11,"")</f>
        <v/>
      </c>
      <c r="L11" s="8">
        <f>IFERROR(Raw_Data!O11/Raw_Data!G11,"")</f>
        <v/>
      </c>
      <c r="M11" s="8">
        <f>IFERROR(Raw_Data!O11/Raw_Data!I11,"")</f>
        <v/>
      </c>
      <c r="N11" s="8">
        <f>IFERROR((Raw_Data!M11-Raw_Data!N11)/Raw_Data!G11,"")</f>
        <v/>
      </c>
      <c r="O11">
        <f>IF(OR(J11="",K11="",L11="",M11="",N11=""),"REVIEW",IF(OR(ABS(J11-Raw_Data!R11)&gt;0.005,ABS(K11-Raw_Data!S11)&gt;0.005,ABS(L11-Raw_Data!T11)&gt;0.005,ABS(M11-Raw_Data!U11)&gt;0.005,ABS(N11-Raw_Data!V11)&gt;0.005),"CHECK","PASS"))</f>
        <v/>
      </c>
      <c r="P11" t="inlineStr">
        <is>
          <t>Open</t>
        </is>
      </c>
    </row>
    <row r="12">
      <c r="A12">
        <f>Raw_Data!A12</f>
        <v/>
      </c>
      <c r="B12">
        <f>Raw_Data!B12</f>
        <v/>
      </c>
      <c r="C12">
        <f>Raw_Data!D12</f>
        <v/>
      </c>
      <c r="D12">
        <f>IF(OR(Raw_Data!G12="",Raw_Data!I12="",Raw_Data!O12=""),"EXCEPTION","PASS")</f>
        <v/>
      </c>
      <c r="E12">
        <f>IF(COUNTIFS(Raw_Data!A:A,A12,Raw_Data!D:D,C12)&gt;1,"EXCEPTION","PASS")</f>
        <v/>
      </c>
      <c r="F12">
        <f>IF(OR(Raw_Data!G12="",Raw_Data!H12="",Raw_Data!I12=""),"REVIEW",IF(ABS(Raw_Data!G12-Raw_Data!H12-Raw_Data!I12)&gt;1,"EXCEPTION","PASS"))</f>
        <v/>
      </c>
      <c r="G12">
        <f>IF(OR(Raw_Data!K12="",Raw_Data!J12=""),"REVIEW",IF(Raw_Data!K12&gt;Raw_Data!J12,"EXCEPTION","PASS"))</f>
        <v/>
      </c>
      <c r="H12">
        <f>IF(Raw_Data!N12="","REVIEW",IF(Raw_Data!N12&lt;0,"EXCEPTION","PASS"))</f>
        <v/>
      </c>
      <c r="I12">
        <f>IF(Raw_Data!L12="","REVIEW",IF(Raw_Data!L12&lt;=0,"EXCEPTION","PASS"))</f>
        <v/>
      </c>
      <c r="J12" s="8">
        <f>IFERROR(Raw_Data!K12/Raw_Data!J12,"")</f>
        <v/>
      </c>
      <c r="K12" s="8">
        <f>IFERROR(Raw_Data!Q12/Raw_Data!P12,"")</f>
        <v/>
      </c>
      <c r="L12" s="8">
        <f>IFERROR(Raw_Data!O12/Raw_Data!G12,"")</f>
        <v/>
      </c>
      <c r="M12" s="8">
        <f>IFERROR(Raw_Data!O12/Raw_Data!I12,"")</f>
        <v/>
      </c>
      <c r="N12" s="8">
        <f>IFERROR((Raw_Data!M12-Raw_Data!N12)/Raw_Data!G12,"")</f>
        <v/>
      </c>
      <c r="O12">
        <f>IF(OR(J12="",K12="",L12="",M12="",N12=""),"REVIEW",IF(OR(ABS(J12-Raw_Data!R12)&gt;0.005,ABS(K12-Raw_Data!S12)&gt;0.005,ABS(L12-Raw_Data!T12)&gt;0.005,ABS(M12-Raw_Data!U12)&gt;0.005,ABS(N12-Raw_Data!V12)&gt;0.005),"CHECK","PASS"))</f>
        <v/>
      </c>
      <c r="P12" t="inlineStr">
        <is>
          <t>Open</t>
        </is>
      </c>
    </row>
    <row r="13">
      <c r="A13">
        <f>Raw_Data!A13</f>
        <v/>
      </c>
      <c r="B13">
        <f>Raw_Data!B13</f>
        <v/>
      </c>
      <c r="C13">
        <f>Raw_Data!D13</f>
        <v/>
      </c>
      <c r="D13">
        <f>IF(OR(Raw_Data!G13="",Raw_Data!I13="",Raw_Data!O13=""),"EXCEPTION","PASS")</f>
        <v/>
      </c>
      <c r="E13">
        <f>IF(COUNTIFS(Raw_Data!A:A,A13,Raw_Data!D:D,C13)&gt;1,"EXCEPTION","PASS")</f>
        <v/>
      </c>
      <c r="F13">
        <f>IF(OR(Raw_Data!G13="",Raw_Data!H13="",Raw_Data!I13=""),"REVIEW",IF(ABS(Raw_Data!G13-Raw_Data!H13-Raw_Data!I13)&gt;1,"EXCEPTION","PASS"))</f>
        <v/>
      </c>
      <c r="G13">
        <f>IF(OR(Raw_Data!K13="",Raw_Data!J13=""),"REVIEW",IF(Raw_Data!K13&gt;Raw_Data!J13,"EXCEPTION","PASS"))</f>
        <v/>
      </c>
      <c r="H13">
        <f>IF(Raw_Data!N13="","REVIEW",IF(Raw_Data!N13&lt;0,"EXCEPTION","PASS"))</f>
        <v/>
      </c>
      <c r="I13">
        <f>IF(Raw_Data!L13="","REVIEW",IF(Raw_Data!L13&lt;=0,"EXCEPTION","PASS"))</f>
        <v/>
      </c>
      <c r="J13" s="8">
        <f>IFERROR(Raw_Data!K13/Raw_Data!J13,"")</f>
        <v/>
      </c>
      <c r="K13" s="8">
        <f>IFERROR(Raw_Data!Q13/Raw_Data!P13,"")</f>
        <v/>
      </c>
      <c r="L13" s="8">
        <f>IFERROR(Raw_Data!O13/Raw_Data!G13,"")</f>
        <v/>
      </c>
      <c r="M13" s="8">
        <f>IFERROR(Raw_Data!O13/Raw_Data!I13,"")</f>
        <v/>
      </c>
      <c r="N13" s="8">
        <f>IFERROR((Raw_Data!M13-Raw_Data!N13)/Raw_Data!G13,"")</f>
        <v/>
      </c>
      <c r="O13">
        <f>IF(OR(J13="",K13="",L13="",M13="",N13=""),"REVIEW",IF(OR(ABS(J13-Raw_Data!R13)&gt;0.005,ABS(K13-Raw_Data!S13)&gt;0.005,ABS(L13-Raw_Data!T13)&gt;0.005,ABS(M13-Raw_Data!U13)&gt;0.005,ABS(N13-Raw_Data!V13)&gt;0.005),"CHECK","PASS"))</f>
        <v/>
      </c>
      <c r="P13" t="inlineStr">
        <is>
          <t>Open</t>
        </is>
      </c>
    </row>
    <row r="14">
      <c r="A14">
        <f>Raw_Data!A14</f>
        <v/>
      </c>
      <c r="B14">
        <f>Raw_Data!B14</f>
        <v/>
      </c>
      <c r="C14">
        <f>Raw_Data!D14</f>
        <v/>
      </c>
      <c r="D14">
        <f>IF(OR(Raw_Data!G14="",Raw_Data!I14="",Raw_Data!O14=""),"EXCEPTION","PASS")</f>
        <v/>
      </c>
      <c r="E14">
        <f>IF(COUNTIFS(Raw_Data!A:A,A14,Raw_Data!D:D,C14)&gt;1,"EXCEPTION","PASS")</f>
        <v/>
      </c>
      <c r="F14">
        <f>IF(OR(Raw_Data!G14="",Raw_Data!H14="",Raw_Data!I14=""),"REVIEW",IF(ABS(Raw_Data!G14-Raw_Data!H14-Raw_Data!I14)&gt;1,"EXCEPTION","PASS"))</f>
        <v/>
      </c>
      <c r="G14">
        <f>IF(OR(Raw_Data!K14="",Raw_Data!J14=""),"REVIEW",IF(Raw_Data!K14&gt;Raw_Data!J14,"EXCEPTION","PASS"))</f>
        <v/>
      </c>
      <c r="H14">
        <f>IF(Raw_Data!N14="","REVIEW",IF(Raw_Data!N14&lt;0,"EXCEPTION","PASS"))</f>
        <v/>
      </c>
      <c r="I14">
        <f>IF(Raw_Data!L14="","REVIEW",IF(Raw_Data!L14&lt;=0,"EXCEPTION","PASS"))</f>
        <v/>
      </c>
      <c r="J14" s="8">
        <f>IFERROR(Raw_Data!K14/Raw_Data!J14,"")</f>
        <v/>
      </c>
      <c r="K14" s="8">
        <f>IFERROR(Raw_Data!Q14/Raw_Data!P14,"")</f>
        <v/>
      </c>
      <c r="L14" s="8">
        <f>IFERROR(Raw_Data!O14/Raw_Data!G14,"")</f>
        <v/>
      </c>
      <c r="M14" s="8">
        <f>IFERROR(Raw_Data!O14/Raw_Data!I14,"")</f>
        <v/>
      </c>
      <c r="N14" s="8">
        <f>IFERROR((Raw_Data!M14-Raw_Data!N14)/Raw_Data!G14,"")</f>
        <v/>
      </c>
      <c r="O14">
        <f>IF(OR(J14="",K14="",L14="",M14="",N14=""),"REVIEW",IF(OR(ABS(J14-Raw_Data!R14)&gt;0.005,ABS(K14-Raw_Data!S14)&gt;0.005,ABS(L14-Raw_Data!T14)&gt;0.005,ABS(M14-Raw_Data!U14)&gt;0.005,ABS(N14-Raw_Data!V14)&gt;0.005),"CHECK","PASS"))</f>
        <v/>
      </c>
      <c r="P14" t="inlineStr">
        <is>
          <t>Open</t>
        </is>
      </c>
    </row>
  </sheetData>
  <autoFilter ref="A1:Q14"/>
  <conditionalFormatting sqref="D2:D14">
    <cfRule type="cellIs" priority="1" operator="equal" dxfId="0">
      <formula>"EXCEPTION"</formula>
    </cfRule>
  </conditionalFormatting>
  <conditionalFormatting sqref="E2:E14">
    <cfRule type="cellIs" priority="2" operator="equal" dxfId="0">
      <formula>"EXCEPTION"</formula>
    </cfRule>
  </conditionalFormatting>
  <conditionalFormatting sqref="F2:F14">
    <cfRule type="cellIs" priority="3" operator="equal" dxfId="0">
      <formula>"EXCEPTION"</formula>
    </cfRule>
  </conditionalFormatting>
  <conditionalFormatting sqref="G2:G14">
    <cfRule type="cellIs" priority="4" operator="equal" dxfId="0">
      <formula>"EXCEPTION"</formula>
    </cfRule>
  </conditionalFormatting>
  <conditionalFormatting sqref="H2:H14">
    <cfRule type="cellIs" priority="5" operator="equal" dxfId="0">
      <formula>"EXCEPTION"</formula>
    </cfRule>
  </conditionalFormatting>
  <conditionalFormatting sqref="I2:I14">
    <cfRule type="cellIs" priority="6" operator="equal" dxfId="0">
      <formula>"EXCEPTION"</formula>
    </cfRule>
  </conditionalFormatting>
  <conditionalFormatting sqref="O2:O14">
    <cfRule type="cellIs" priority="7" operator="equal" dxfId="0">
      <formula>"EXCEPTION"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3" customWidth="1" min="7" max="7"/>
    <col width="19" customWidth="1" min="8" max="8"/>
    <col width="15" customWidth="1" min="9" max="9"/>
    <col width="15" customWidth="1" min="10" max="10"/>
    <col width="19" customWidth="1" min="11" max="11"/>
  </cols>
  <sheetData>
    <row r="1">
      <c r="A1" s="6" t="inlineStr">
        <is>
          <t>exception_id</t>
        </is>
      </c>
      <c r="B1" s="6" t="inlineStr">
        <is>
          <t>bank_id</t>
        </is>
      </c>
      <c r="C1" s="6" t="inlineStr">
        <is>
          <t>report_date</t>
        </is>
      </c>
      <c r="D1" s="6" t="inlineStr">
        <is>
          <t>issue_type</t>
        </is>
      </c>
      <c r="E1" s="6" t="inlineStr">
        <is>
          <t>severity</t>
        </is>
      </c>
      <c r="F1" s="6" t="inlineStr">
        <is>
          <t>detected_by</t>
        </is>
      </c>
      <c r="G1" s="6" t="inlineStr">
        <is>
          <t>investigation_notes</t>
        </is>
      </c>
      <c r="H1" s="6" t="inlineStr">
        <is>
          <t>proposed_action</t>
        </is>
      </c>
      <c r="I1" s="6" t="inlineStr">
        <is>
          <t>status</t>
        </is>
      </c>
      <c r="J1" s="6" t="inlineStr">
        <is>
          <t>reviewer</t>
        </is>
      </c>
      <c r="K1" s="6" t="inlineStr">
        <is>
          <t>resolution_date</t>
        </is>
      </c>
    </row>
    <row r="2">
      <c r="A2" t="inlineStr">
        <is>
          <t>EX001</t>
        </is>
      </c>
      <c r="B2" t="inlineStr">
        <is>
          <t>B003</t>
        </is>
      </c>
      <c r="C2" t="inlineStr">
        <is>
          <t>2025-03-31</t>
        </is>
      </c>
      <c r="D2" t="inlineStr">
        <is>
          <t>MISSING_TOTAL_EQUITY</t>
        </is>
      </c>
      <c r="E2" t="inlineStr">
        <is>
          <t>High</t>
        </is>
      </c>
      <c r="F2" t="inlineStr">
        <is>
          <t>Excel/SQL</t>
        </is>
      </c>
      <c r="G2" t="inlineStr">
        <is>
          <t>Total equity is blank in raw feed.</t>
        </is>
      </c>
      <c r="H2" t="inlineStr">
        <is>
          <t>Check source report; populate only after source verification.</t>
        </is>
      </c>
      <c r="I2" t="inlineStr">
        <is>
          <t>Open</t>
        </is>
      </c>
    </row>
    <row r="3">
      <c r="A3" t="inlineStr">
        <is>
          <t>EX002</t>
        </is>
      </c>
      <c r="B3" t="inlineStr">
        <is>
          <t>B007</t>
        </is>
      </c>
      <c r="C3" t="inlineStr">
        <is>
          <t>2025-03-31</t>
        </is>
      </c>
      <c r="D3" t="inlineStr">
        <is>
          <t>MISSING_NET_INCOME</t>
        </is>
      </c>
      <c r="E3" t="inlineStr">
        <is>
          <t>High</t>
        </is>
      </c>
      <c r="F3" t="inlineStr">
        <is>
          <t>Excel/SQL</t>
        </is>
      </c>
      <c r="G3" t="inlineStr">
        <is>
          <t>Net income is blank in raw feed.</t>
        </is>
      </c>
      <c r="H3" t="inlineStr">
        <is>
          <t>Verify against source financial statement.</t>
        </is>
      </c>
      <c r="I3" t="inlineStr">
        <is>
          <t>Open</t>
        </is>
      </c>
    </row>
    <row r="4">
      <c r="A4" t="inlineStr">
        <is>
          <t>EX003</t>
        </is>
      </c>
      <c r="B4" t="inlineStr">
        <is>
          <t>B002</t>
        </is>
      </c>
      <c r="C4" t="inlineStr">
        <is>
          <t>2025-03-31</t>
        </is>
      </c>
      <c r="D4" t="inlineStr">
        <is>
          <t>DUPLICATE_BANK_PERIOD</t>
        </is>
      </c>
      <c r="E4" t="inlineStr">
        <is>
          <t>High</t>
        </is>
      </c>
      <c r="F4" t="inlineStr">
        <is>
          <t>Excel/SQL</t>
        </is>
      </c>
      <c r="G4" t="inlineStr">
        <is>
          <t>Two rows exist for same bank and period from different source labels.</t>
        </is>
      </c>
      <c r="H4" t="inlineStr">
        <is>
          <t>Compare source lineage; retain traceable record(s), do not blindly delete.</t>
        </is>
      </c>
      <c r="I4" t="inlineStr">
        <is>
          <t>Open</t>
        </is>
      </c>
    </row>
    <row r="5">
      <c r="A5" t="inlineStr">
        <is>
          <t>EX004</t>
        </is>
      </c>
      <c r="B5" t="inlineStr">
        <is>
          <t>B004</t>
        </is>
      </c>
      <c r="C5" t="inlineStr">
        <is>
          <t>2025-03-31</t>
        </is>
      </c>
      <c r="D5" t="inlineStr">
        <is>
          <t>BALANCE_SHEET_MISMATCH</t>
        </is>
      </c>
      <c r="E5" t="inlineStr">
        <is>
          <t>High</t>
        </is>
      </c>
      <c r="F5" t="inlineStr">
        <is>
          <t>Excel/SQL</t>
        </is>
      </c>
      <c r="G5" t="inlineStr">
        <is>
          <t>Assets differ from liabilities plus equity.</t>
        </is>
      </c>
      <c r="H5" t="inlineStr">
        <is>
          <t>Re-check source statement and mapping.</t>
        </is>
      </c>
      <c r="I5" t="inlineStr">
        <is>
          <t>Open</t>
        </is>
      </c>
    </row>
    <row r="6">
      <c r="A6" t="inlineStr">
        <is>
          <t>EX005</t>
        </is>
      </c>
      <c r="B6" t="inlineStr">
        <is>
          <t>B005</t>
        </is>
      </c>
      <c r="C6" t="inlineStr">
        <is>
          <t>2025-03-31</t>
        </is>
      </c>
      <c r="D6" t="inlineStr">
        <is>
          <t>NPL_EXCEEDS_GROSS_LOANS</t>
        </is>
      </c>
      <c r="E6" t="inlineStr">
        <is>
          <t>High</t>
        </is>
      </c>
      <c r="F6" t="inlineStr">
        <is>
          <t>Excel/SQL</t>
        </is>
      </c>
      <c r="G6" t="inlineStr">
        <is>
          <t>NPL amount exceeds gross loans.</t>
        </is>
      </c>
      <c r="H6" t="inlineStr">
        <is>
          <t>Check units, field mapping, and source values.</t>
        </is>
      </c>
      <c r="I6" t="inlineStr">
        <is>
          <t>Open</t>
        </is>
      </c>
    </row>
    <row r="7">
      <c r="A7" t="inlineStr">
        <is>
          <t>EX006</t>
        </is>
      </c>
      <c r="B7" t="inlineStr">
        <is>
          <t>B006</t>
        </is>
      </c>
      <c r="C7" t="inlineStr">
        <is>
          <t>2025-03-31</t>
        </is>
      </c>
      <c r="D7" t="inlineStr">
        <is>
          <t>NEGATIVE_INTEREST_EXPENSE</t>
        </is>
      </c>
      <c r="E7" t="inlineStr">
        <is>
          <t>Medium</t>
        </is>
      </c>
      <c r="F7" t="inlineStr">
        <is>
          <t>Excel/SQL</t>
        </is>
      </c>
      <c r="G7" t="inlineStr">
        <is>
          <t>Interest expense is negative; may be sign convention or data issue.</t>
        </is>
      </c>
      <c r="H7" t="inlineStr">
        <is>
          <t>Confirm source sign convention before changing.</t>
        </is>
      </c>
      <c r="I7" t="inlineStr">
        <is>
          <t>Open</t>
        </is>
      </c>
    </row>
    <row r="8">
      <c r="A8" t="inlineStr">
        <is>
          <t>EX007</t>
        </is>
      </c>
      <c r="B8" t="inlineStr">
        <is>
          <t>B009</t>
        </is>
      </c>
      <c r="C8" t="inlineStr">
        <is>
          <t>2025-03-31</t>
        </is>
      </c>
      <c r="D8" t="inlineStr">
        <is>
          <t>NONPOSITIVE_DEPOSITS</t>
        </is>
      </c>
      <c r="E8" t="inlineStr">
        <is>
          <t>High</t>
        </is>
      </c>
      <c r="F8" t="inlineStr">
        <is>
          <t>Excel/SQL</t>
        </is>
      </c>
      <c r="G8" t="inlineStr">
        <is>
          <t>Deposits are zero; validate plausibility and ratio denominators.</t>
        </is>
      </c>
      <c r="H8" t="inlineStr">
        <is>
          <t>Verify source disclosure; ratios with zero denominator must be null/flagged.</t>
        </is>
      </c>
      <c r="I8" t="inlineStr">
        <is>
          <t>Open</t>
        </is>
      </c>
    </row>
    <row r="9">
      <c r="A9" t="inlineStr">
        <is>
          <t>EX008</t>
        </is>
      </c>
      <c r="B9" t="inlineStr">
        <is>
          <t>B008</t>
        </is>
      </c>
      <c r="C9" t="inlineStr">
        <is>
          <t>2025-03-31</t>
        </is>
      </c>
      <c r="D9" t="inlineStr">
        <is>
          <t>SOURCE_ASSET_DISCREPANCY</t>
        </is>
      </c>
      <c r="E9" t="inlineStr">
        <is>
          <t>High</t>
        </is>
      </c>
      <c r="F9" t="inlineStr">
        <is>
          <t>Source reconciliation</t>
        </is>
      </c>
      <c r="G9" t="inlineStr">
        <is>
          <t>Annual report and vendor feed assets differ.</t>
        </is>
      </c>
      <c r="H9" t="inlineStr">
        <is>
          <t>Use source hierarchy and document the chosen value.</t>
        </is>
      </c>
      <c r="I9" t="inlineStr">
        <is>
          <t>Open</t>
        </is>
      </c>
    </row>
    <row r="10">
      <c r="A10" t="inlineStr">
        <is>
          <t>EX009</t>
        </is>
      </c>
      <c r="B10" t="inlineStr">
        <is>
          <t>B011</t>
        </is>
      </c>
      <c r="C10" t="inlineStr">
        <is>
          <t>2025-03-31</t>
        </is>
      </c>
      <c r="D10" t="inlineStr">
        <is>
          <t>SOURCE_NET_INCOME_DISCREPANCY</t>
        </is>
      </c>
      <c r="E10" t="inlineStr">
        <is>
          <t>Medium</t>
        </is>
      </c>
      <c r="F10" t="inlineStr">
        <is>
          <t>Source reconciliation</t>
        </is>
      </c>
      <c r="G10" t="inlineStr">
        <is>
          <t>Annual report and vendor feed net income differ.</t>
        </is>
      </c>
      <c r="H10" t="inlineStr">
        <is>
          <t>Reconcile against report notes and reporting period.</t>
        </is>
      </c>
      <c r="I10" t="inlineStr">
        <is>
          <t>Open</t>
        </is>
      </c>
    </row>
  </sheetData>
  <autoFilter ref="A1:K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9" t="inlineStr">
        <is>
          <t>BANK FINANCIAL DATA QUALITY &amp; VALIDATION PROJECT</t>
        </is>
      </c>
      <c r="B1" s="10" t="n"/>
    </row>
    <row r="2" ht="38" customHeight="1">
      <c r="A2" t="inlineStr">
        <is>
          <t>Purpose</t>
        </is>
      </c>
      <c r="B2" s="11" t="inlineStr">
        <is>
          <t>Practice bank financial data quality checks using fictional data only.</t>
        </is>
      </c>
    </row>
    <row r="3" ht="38" customHeight="1">
      <c r="A3" t="inlineStr">
        <is>
          <t>Workbook workflow</t>
        </is>
      </c>
      <c r="B3" s="11" t="inlineStr">
        <is>
          <t>Raw_Data -&gt; Validation -&gt; Exception_Log -&gt; Dashboard. Source_Comparison contains two-source reconciliation rows.</t>
        </is>
      </c>
    </row>
    <row r="4" ht="38" customHeight="1">
      <c r="A4" t="inlineStr">
        <is>
          <t>Important</t>
        </is>
      </c>
      <c r="B4" s="11" t="inlineStr">
        <is>
          <t>Raw_Data contains intentional defects. Do not overwrite source values to make checks pass.</t>
        </is>
      </c>
    </row>
    <row r="5" ht="38" customHeight="1">
      <c r="A5" t="inlineStr">
        <is>
          <t>Excel formulas</t>
        </is>
      </c>
      <c r="B5" s="11" t="inlineStr">
        <is>
          <t>Missing: IF(OR(cell="",...),"EXCEPTION","PASS"); duplicates: COUNTIFS by bank_id + report_date; balance sheet: ABS(assets-liabilities-equity)&gt;1.</t>
        </is>
      </c>
    </row>
    <row r="6" ht="38" customHeight="1">
      <c r="A6" t="inlineStr">
        <is>
          <t>Ratios</t>
        </is>
      </c>
      <c r="B6" s="11" t="inlineStr">
        <is>
          <t>NPL ratio = NPL amount / gross loans; CAR = regulatory capital / risk-weighted assets; ROA = net income / total assets; ROE = net income / total equity; NIM proxy = (interest income - interest expense) / total assets.</t>
        </is>
      </c>
    </row>
    <row r="7" ht="38" customHeight="1">
      <c r="A7" t="inlineStr">
        <is>
          <t>NIM caveat</t>
        </is>
      </c>
      <c r="B7" s="11" t="inlineStr">
        <is>
          <t>Industry NIM normally uses net interest income divided by average interest-earning assets. This dataset lacks average earning assets, so the workbook labels this as a proxy.</t>
        </is>
      </c>
    </row>
    <row r="8" ht="38" customHeight="1">
      <c r="A8" t="inlineStr">
        <is>
          <t>Review discipline</t>
        </is>
      </c>
      <c r="B8" s="11" t="inlineStr">
        <is>
          <t>Investigate against an authoritative source; document source, date, reviewer, and action. A failed rule is an exception, not automatic proof that a value is wrong.</t>
        </is>
      </c>
    </row>
    <row r="9" ht="38" customHeight="1">
      <c r="A9" t="inlineStr">
        <is>
          <t>PostgreSQL</t>
        </is>
      </c>
      <c r="B9" s="11" t="inlineStr">
        <is>
          <t>Create tables with bank_data_quality.sql, then import the CSVs. SQL comments contain sample psql \\copy commands.</t>
        </is>
      </c>
    </row>
    <row r="10" ht="38" customHeight="1">
      <c r="A10" t="inlineStr">
        <is>
          <t>Expected seeded issues</t>
        </is>
      </c>
      <c r="B10" s="11" t="inlineStr">
        <is>
          <t>Missing equity (B003); missing net income (B007); duplicate bank-period (B002); balance sheet mismatch (B004); NPL exceeds loans (B005); negative interest expense (B006); zero deposits (B009); source discrepancies (B008 assets, B011 net income).</t>
        </is>
      </c>
    </row>
    <row r="11" ht="38" customHeight="1">
      <c r="A11" t="inlineStr">
        <is>
          <t>Ratio interpretation</t>
        </is>
      </c>
      <c r="B11" s="11" t="inlineStr">
        <is>
          <t>NPL and CAR use bank-specific definitions and regulatory rules in real work. This project uses simplified definitions for learning, not credit decisions.</t>
        </is>
      </c>
    </row>
    <row r="12" ht="38" customHeight="1">
      <c r="A12" t="inlineStr">
        <is>
          <t>Portfolio ethics</t>
        </is>
      </c>
      <c r="B12" s="11" t="inlineStr">
        <is>
          <t>Clearly label all data as synthetic. Do not claim these results came from Moody's or from real banks.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2026-10-13T04:03:21Z</dcterms:created>
  <dcterms:modified xmlns:dcterms="http://purl.org/dc/terms/" xmlns:xsi="http://www.w3.org/2001/XMLSchema-instance" xsi:type="dcterms:W3CDTF">2026-10-13T04:03:38Z</dcterms:modified>
</cp:coreProperties>
</file>